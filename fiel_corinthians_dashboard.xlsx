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ang\OneDrive\Documentos\DIO\Desafios Excel\"/>
    </mc:Choice>
  </mc:AlternateContent>
  <xr:revisionPtr revIDLastSave="0" documentId="8_{273232A5-17A5-4255-AA2D-D5E28258B9D6}" xr6:coauthVersionLast="47" xr6:coauthVersionMax="47" xr10:uidLastSave="{00000000-0000-0000-0000-000000000000}"/>
  <bookViews>
    <workbookView xWindow="-120" yWindow="-120" windowWidth="29040" windowHeight="15720" tabRatio="500" firstSheet="3" activeTab="3" xr2:uid="{00000000-000D-0000-FFFF-FFFF00000000}"/>
  </bookViews>
  <sheets>
    <sheet name="Assets" sheetId="4" state="hidden" r:id="rId1"/>
    <sheet name="Bases" sheetId="2" state="hidden" r:id="rId2"/>
    <sheet name="Cálculos" sheetId="3" state="hidden" r:id="rId3"/>
    <sheet name="Dashboard" sheetId="5" r:id="rId4"/>
  </sheets>
  <definedNames>
    <definedName name="_xlnm._FilterDatabase" localSheetId="1" hidden="1">Bases!$A$1:$J$1</definedName>
    <definedName name="SegmentaçãodeDados_Status">#N/A</definedName>
    <definedName name="SegmentaçãodeDados_Tipo_Pagamento">#N/A</definedName>
  </definedNames>
  <calcPr calcId="191029" iterateDelta="1E-4"/>
  <pivotCaches>
    <pivotCache cacheId="16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6" i="3" l="1"/>
  <c r="F25" i="3"/>
  <c r="F24" i="3"/>
  <c r="H17" i="3"/>
  <c r="F17" i="3"/>
</calcChain>
</file>

<file path=xl/sharedStrings.xml><?xml version="1.0" encoding="utf-8"?>
<sst xmlns="http://schemas.openxmlformats.org/spreadsheetml/2006/main" count="1463" uniqueCount="260">
  <si>
    <t>ID Sócio</t>
  </si>
  <si>
    <t>Nome</t>
  </si>
  <si>
    <t>Plano</t>
  </si>
  <si>
    <t>Data Adesão</t>
  </si>
  <si>
    <t>Mês Adesão</t>
  </si>
  <si>
    <t>Estado</t>
  </si>
  <si>
    <t>Renovação Automática</t>
  </si>
  <si>
    <t>Tipo Pagamento</t>
  </si>
  <si>
    <t>Valor Mensalidade (R$)</t>
  </si>
  <si>
    <t>Status</t>
  </si>
  <si>
    <t>Maria Lima</t>
  </si>
  <si>
    <t>Minha Vida</t>
  </si>
  <si>
    <t>May/2024</t>
  </si>
  <si>
    <t>SP</t>
  </si>
  <si>
    <t>Sim</t>
  </si>
  <si>
    <t>Mensal</t>
  </si>
  <si>
    <t>Ativo</t>
  </si>
  <si>
    <t>Lucas Silva</t>
  </si>
  <si>
    <t>Feb/2024</t>
  </si>
  <si>
    <t>Luciana Carvalho</t>
  </si>
  <si>
    <t>Minha História</t>
  </si>
  <si>
    <t>Aug/2024</t>
  </si>
  <si>
    <t>Rita Melo</t>
  </si>
  <si>
    <t>Jun/2024</t>
  </si>
  <si>
    <t>RJ</t>
  </si>
  <si>
    <t>Anual</t>
  </si>
  <si>
    <t>Inativo</t>
  </si>
  <si>
    <t>Lara Souza</t>
  </si>
  <si>
    <t>Fiel Digital</t>
  </si>
  <si>
    <t>Jul/2024</t>
  </si>
  <si>
    <t>MG</t>
  </si>
  <si>
    <t>Lara Oliveira</t>
  </si>
  <si>
    <t>Oct/2024</t>
  </si>
  <si>
    <t>Não</t>
  </si>
  <si>
    <t>Márcia Oliveira</t>
  </si>
  <si>
    <t>Jan/2024</t>
  </si>
  <si>
    <t>PE</t>
  </si>
  <si>
    <t>Camila Araújo</t>
  </si>
  <si>
    <t>Meu Amor</t>
  </si>
  <si>
    <t>RS</t>
  </si>
  <si>
    <t>Jorge Lima</t>
  </si>
  <si>
    <t>Dec/2024</t>
  </si>
  <si>
    <t>Caio Ferreira</t>
  </si>
  <si>
    <t>Renata Santos</t>
  </si>
  <si>
    <t>Apr/2024</t>
  </si>
  <si>
    <t>Daniela Costa</t>
  </si>
  <si>
    <t>CE</t>
  </si>
  <si>
    <t>Sofia Pereira</t>
  </si>
  <si>
    <t>Jan/2025</t>
  </si>
  <si>
    <t>BA</t>
  </si>
  <si>
    <t>Matheus Martins</t>
  </si>
  <si>
    <t>Bruno Ferreira</t>
  </si>
  <si>
    <t>Feb/2025</t>
  </si>
  <si>
    <t>Raquel Rocha</t>
  </si>
  <si>
    <t>Amanda Lima</t>
  </si>
  <si>
    <t>Nilo Lima</t>
  </si>
  <si>
    <t>Sep/2024</t>
  </si>
  <si>
    <t>Vinicius Moraes</t>
  </si>
  <si>
    <t>Tânia Silva</t>
  </si>
  <si>
    <t>Caio Nascimento</t>
  </si>
  <si>
    <t>Apr/2025</t>
  </si>
  <si>
    <t>Amanda Rodrigues</t>
  </si>
  <si>
    <t>Minha Cadeira</t>
  </si>
  <si>
    <t>Mar/2024</t>
  </si>
  <si>
    <t>Fábio Melo</t>
  </si>
  <si>
    <t>Jorge Martins</t>
  </si>
  <si>
    <t>SC</t>
  </si>
  <si>
    <t>Elisa Carvalho</t>
  </si>
  <si>
    <t>GO</t>
  </si>
  <si>
    <t>Lucas Costa</t>
  </si>
  <si>
    <t>Nilo Nascimento</t>
  </si>
  <si>
    <t>PR</t>
  </si>
  <si>
    <t>Camila Melo</t>
  </si>
  <si>
    <t>Ingrid Souza</t>
  </si>
  <si>
    <t>Lívia Carvalho</t>
  </si>
  <si>
    <t>Pedro Barbosa</t>
  </si>
  <si>
    <t>Patrícia Pereira</t>
  </si>
  <si>
    <t>Rita Araújo</t>
  </si>
  <si>
    <t>AM</t>
  </si>
  <si>
    <t>Vinicius Oliveira</t>
  </si>
  <si>
    <t>Mar/2025</t>
  </si>
  <si>
    <t>Daniela Pereira</t>
  </si>
  <si>
    <t>DF</t>
  </si>
  <si>
    <t>Diogo Costa</t>
  </si>
  <si>
    <t>Patrícia Oliveira</t>
  </si>
  <si>
    <t>Diogo Rocha</t>
  </si>
  <si>
    <t>Rita Barbosa</t>
  </si>
  <si>
    <t>Carlos Gomes</t>
  </si>
  <si>
    <t>Camila Carvalho</t>
  </si>
  <si>
    <t>Hélio Lima</t>
  </si>
  <si>
    <t>Otávio Lima</t>
  </si>
  <si>
    <t>Paula Carvalho</t>
  </si>
  <si>
    <t>Joaquim Nascimento</t>
  </si>
  <si>
    <t>Lucas Martins</t>
  </si>
  <si>
    <t>Oscar Rodrigues</t>
  </si>
  <si>
    <t>Maria Ferreira</t>
  </si>
  <si>
    <t>Luciana Souza</t>
  </si>
  <si>
    <t>Fernanda Pereira</t>
  </si>
  <si>
    <t>César Martins</t>
  </si>
  <si>
    <t>Nov/2024</t>
  </si>
  <si>
    <t>André Lima</t>
  </si>
  <si>
    <t>Isabela Costa</t>
  </si>
  <si>
    <t>Márcia Melo</t>
  </si>
  <si>
    <t>Pedro Costa</t>
  </si>
  <si>
    <t>Jorge Melo</t>
  </si>
  <si>
    <t>Lara Ferreira</t>
  </si>
  <si>
    <t>Diogo Melo</t>
  </si>
  <si>
    <t>Samuel Moraes</t>
  </si>
  <si>
    <t>Lara Cardoso</t>
  </si>
  <si>
    <t>Fernanda Ferreira</t>
  </si>
  <si>
    <t>André Barbosa</t>
  </si>
  <si>
    <t>Paula Moraes</t>
  </si>
  <si>
    <t>Oscar Cardoso</t>
  </si>
  <si>
    <t>Yasmin Cardoso</t>
  </si>
  <si>
    <t>Henrique Costa</t>
  </si>
  <si>
    <t>Márcia Alves</t>
  </si>
  <si>
    <t>Nicole Araújo</t>
  </si>
  <si>
    <t>Isabela Gomes</t>
  </si>
  <si>
    <t>Oscar Carvalho</t>
  </si>
  <si>
    <t>Maria Araújo</t>
  </si>
  <si>
    <t>Sofia Moraes</t>
  </si>
  <si>
    <t>Otávio Rodrigues</t>
  </si>
  <si>
    <t>Gabriela Costa</t>
  </si>
  <si>
    <t>Felipe Cardoso</t>
  </si>
  <si>
    <t>Caio Rodrigues</t>
  </si>
  <si>
    <t>Renata Martins</t>
  </si>
  <si>
    <t>Rita Gomes</t>
  </si>
  <si>
    <t>Eduardo Moraes</t>
  </si>
  <si>
    <t>Otávio Martins</t>
  </si>
  <si>
    <t>Nilo Rocha</t>
  </si>
  <si>
    <t>Paula Pereira</t>
  </si>
  <si>
    <t>Gabriela Ferreira</t>
  </si>
  <si>
    <t>Luciana Lima</t>
  </si>
  <si>
    <t>Tânia Carvalho</t>
  </si>
  <si>
    <t>Maria Oliveira</t>
  </si>
  <si>
    <t>Yasmin Martins</t>
  </si>
  <si>
    <t>Fernanda Souza</t>
  </si>
  <si>
    <t>Lívia Gomes</t>
  </si>
  <si>
    <t>Ana Carvalho</t>
  </si>
  <si>
    <t>João Nascimento</t>
  </si>
  <si>
    <t>Samuel Souza</t>
  </si>
  <si>
    <t>Daniela Gomes</t>
  </si>
  <si>
    <t>Lara Barbosa</t>
  </si>
  <si>
    <t>Gisele Santos</t>
  </si>
  <si>
    <t>Felipe Ferreira</t>
  </si>
  <si>
    <t>Fábio Cardoso</t>
  </si>
  <si>
    <t>Fernanda Lima</t>
  </si>
  <si>
    <t>Amanda Pereira</t>
  </si>
  <si>
    <t>Luciana Araújo</t>
  </si>
  <si>
    <t>Otávio Costa</t>
  </si>
  <si>
    <t>Kléber Lima</t>
  </si>
  <si>
    <t>Marco Nascimento</t>
  </si>
  <si>
    <t>Matheus Carvalho</t>
  </si>
  <si>
    <t>Matheus Rocha</t>
  </si>
  <si>
    <t>Sofia Gomes</t>
  </si>
  <si>
    <t>Eduardo Carvalho</t>
  </si>
  <si>
    <t>André Rodrigues</t>
  </si>
  <si>
    <t>Samuel Pereira</t>
  </si>
  <si>
    <t>César Melo</t>
  </si>
  <si>
    <t>Elisa Cardoso</t>
  </si>
  <si>
    <t>Amanda Araújo</t>
  </si>
  <si>
    <t>Fernanda Melo</t>
  </si>
  <si>
    <t>Jorge Rodrigues</t>
  </si>
  <si>
    <t>Paula Souza</t>
  </si>
  <si>
    <t>Beatriz Costa</t>
  </si>
  <si>
    <t>Caio Gomes</t>
  </si>
  <si>
    <t>Luciana Gomes</t>
  </si>
  <si>
    <t>Felipe Moraes</t>
  </si>
  <si>
    <t>Kléber Carvalho</t>
  </si>
  <si>
    <t>Lara Nascimento</t>
  </si>
  <si>
    <t>Jorge Araújo</t>
  </si>
  <si>
    <t>Lívia Moraes</t>
  </si>
  <si>
    <t>Hélio Santos</t>
  </si>
  <si>
    <t>Débora Costa</t>
  </si>
  <si>
    <t>César Ferreira</t>
  </si>
  <si>
    <t>Raquel Oliveira</t>
  </si>
  <si>
    <t>Carlos Martins</t>
  </si>
  <si>
    <t>Oscar Lima</t>
  </si>
  <si>
    <t>Samuel Silva</t>
  </si>
  <si>
    <t>Raquel Gomes</t>
  </si>
  <si>
    <t>Tânia Souza</t>
  </si>
  <si>
    <t>Tânia Moraes</t>
  </si>
  <si>
    <t>Caio Martins</t>
  </si>
  <si>
    <t>César Alves</t>
  </si>
  <si>
    <t>Henrique Pereira</t>
  </si>
  <si>
    <t>Fernanda Costa</t>
  </si>
  <si>
    <t>Bruno Rodrigues</t>
  </si>
  <si>
    <t>Isabela Pereira</t>
  </si>
  <si>
    <t>Yasmin Souza</t>
  </si>
  <si>
    <t>Fernanda Moraes</t>
  </si>
  <si>
    <t>Samuel Araújo</t>
  </si>
  <si>
    <t>Felipe Costa</t>
  </si>
  <si>
    <t>Fábio Rocha</t>
  </si>
  <si>
    <t>Ingrid Carvalho</t>
  </si>
  <si>
    <t>Raquel Araújo</t>
  </si>
  <si>
    <t>Bruno Cardoso</t>
  </si>
  <si>
    <t>Joaquim Rodrigues</t>
  </si>
  <si>
    <t>Nicole Martins</t>
  </si>
  <si>
    <t>Fábio Gomes</t>
  </si>
  <si>
    <t>Camila Martins</t>
  </si>
  <si>
    <t>Carlos Moraes</t>
  </si>
  <si>
    <t>César Gomes</t>
  </si>
  <si>
    <t>Matheus Oliveira</t>
  </si>
  <si>
    <t>Raquel Costa</t>
  </si>
  <si>
    <t>André Gomes</t>
  </si>
  <si>
    <t>Matheus Moraes</t>
  </si>
  <si>
    <t>Márcia Pereira</t>
  </si>
  <si>
    <t>Oscar Santos</t>
  </si>
  <si>
    <t>Daniela Araújo</t>
  </si>
  <si>
    <t>Rita Moraes</t>
  </si>
  <si>
    <t>Elisa Araújo</t>
  </si>
  <si>
    <t>Renata Ferreira</t>
  </si>
  <si>
    <t>Isabela Martins</t>
  </si>
  <si>
    <t>Marco Moraes</t>
  </si>
  <si>
    <t>Daniela Nascimento</t>
  </si>
  <si>
    <t>Hélio Costa</t>
  </si>
  <si>
    <t>Elisa Santos</t>
  </si>
  <si>
    <t>Débora Oliveira</t>
  </si>
  <si>
    <t>Ana Barbosa</t>
  </si>
  <si>
    <t>Márcia Barbosa</t>
  </si>
  <si>
    <t>Lara Melo</t>
  </si>
  <si>
    <t>Elisa Rodrigues</t>
  </si>
  <si>
    <t>Oscar Rocha</t>
  </si>
  <si>
    <t>Marco Alves</t>
  </si>
  <si>
    <t>Camila Rocha</t>
  </si>
  <si>
    <t>Paleta de Cores</t>
  </si>
  <si>
    <t>BG / Fundo escuro</t>
  </si>
  <si>
    <t>Dourado Principal</t>
  </si>
  <si>
    <t>Branco</t>
  </si>
  <si>
    <t>#FFFFFF</t>
  </si>
  <si>
    <t>Planos</t>
  </si>
  <si>
    <t>Valor Mensal</t>
  </si>
  <si>
    <t>Valor Anual</t>
  </si>
  <si>
    <t>R$ 14,90</t>
  </si>
  <si>
    <t>—</t>
  </si>
  <si>
    <t>R$ 24,50</t>
  </si>
  <si>
    <t>R$ 250,00</t>
  </si>
  <si>
    <t>R$ 60,00</t>
  </si>
  <si>
    <t>R$ 660,00</t>
  </si>
  <si>
    <t>R$ 300,00</t>
  </si>
  <si>
    <t>R$ 3.600,00</t>
  </si>
  <si>
    <t>R$ 700,00</t>
  </si>
  <si>
    <t>R$ 8.400,00</t>
  </si>
  <si>
    <t>#2C2C2C</t>
  </si>
  <si>
    <t>Soma de Valor Mensalidade (R$)</t>
  </si>
  <si>
    <t>Rótulos de Linha</t>
  </si>
  <si>
    <t>Total Geral</t>
  </si>
  <si>
    <t>(Tudo)</t>
  </si>
  <si>
    <t>Pergunta 2 - Qual o total de valores de assinaturas apenas de torcedores que estão ativos?</t>
  </si>
  <si>
    <t>Pergunta 1 - Qual o total de valores de assinaturas anuais agregando todos os planos de sócio torcedores?</t>
  </si>
  <si>
    <t>#B18E0F</t>
  </si>
  <si>
    <t>Logos</t>
  </si>
  <si>
    <t># E8E6E9</t>
  </si>
  <si>
    <t>negative zone</t>
  </si>
  <si>
    <t>DASHBOARD DE VENDAS DE PLANOS DE SÓCIO TORCEDORES DO SPORT CLUB CORINTHIANS PAULISTA</t>
  </si>
  <si>
    <t>Pergunta 3 - Quantos torcedores estão cadastrados?</t>
  </si>
  <si>
    <t>Contagem de Nome</t>
  </si>
  <si>
    <t>Pergunta 4 - Quantos torcedores estão ativos?</t>
  </si>
  <si>
    <t>Pergunta 5 - Quantos torcedores estão inativos?</t>
  </si>
  <si>
    <t>PAINEL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</si>
</sst>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5" formatCode="_-[$R$-416]\ * #,##0.00_-;\-[$R$-416]\ * #,##0.00_-;_-[$R$-416]\ * &quot;-&quot;??_-;_-@_-"/>
    <numFmt numFmtId="171" formatCode="&quot;R$&quot;\ #,##0.00"/>
  </numFmts>
  <fonts count="1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1A7F2E"/>
      <name val="Arial"/>
      <charset val="1"/>
    </font>
    <font>
      <b/>
      <sz val="9"/>
      <color rgb="FFB22222"/>
      <name val="Arial"/>
      <charset val="1"/>
    </font>
    <font>
      <b/>
      <sz val="9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8"/>
      <color theme="3"/>
      <name val="Cambria"/>
      <family val="2"/>
      <scheme val="major"/>
    </font>
    <font>
      <sz val="11"/>
      <color theme="0"/>
      <name val="Calibri"/>
      <family val="2"/>
      <charset val="1"/>
    </font>
    <font>
      <b/>
      <sz val="11"/>
      <color theme="1"/>
      <name val="Calibri"/>
      <family val="2"/>
    </font>
    <font>
      <sz val="18"/>
      <color rgb="FFE8E6E9"/>
      <name val="Cambria"/>
      <family val="2"/>
      <scheme val="major"/>
    </font>
    <font>
      <sz val="18"/>
      <color rgb="FFE8E6E9"/>
      <name val="Segoe UI"/>
      <family val="2"/>
    </font>
    <font>
      <b/>
      <sz val="18"/>
      <color rgb="FFE8E6E9"/>
      <name val="Segoe UI"/>
      <family val="2"/>
    </font>
    <font>
      <sz val="11"/>
      <color rgb="FFE8E6E9"/>
      <name val="Calibri"/>
      <family val="2"/>
      <charset val="1"/>
    </font>
    <font>
      <b/>
      <sz val="11"/>
      <color theme="0"/>
      <name val="Segoe UI"/>
      <family val="2"/>
    </font>
    <font>
      <b/>
      <sz val="11"/>
      <color rgb="FFE8E6E9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0EEE9"/>
        <bgColor rgb="FFFFFFFF"/>
      </patternFill>
    </fill>
    <fill>
      <patternFill patternType="solid">
        <fgColor rgb="FFFFFFFF"/>
        <bgColor rgb="FFF0EEE9"/>
      </patternFill>
    </fill>
    <fill>
      <patternFill patternType="solid">
        <fgColor rgb="FF2C2C2C"/>
        <bgColor rgb="FF000000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18E0F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9A227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center" vertical="center"/>
    </xf>
    <xf numFmtId="4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4" fontId="2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6" fillId="0" borderId="0" xfId="0" applyFont="1"/>
    <xf numFmtId="0" fontId="7" fillId="0" borderId="0" xfId="0" applyFont="1"/>
    <xf numFmtId="0" fontId="0" fillId="0" borderId="0" xfId="0" applyFill="1"/>
    <xf numFmtId="0" fontId="2" fillId="0" borderId="0" xfId="0" applyFont="1" applyFill="1"/>
    <xf numFmtId="0" fontId="5" fillId="0" borderId="0" xfId="0" applyFont="1" applyFill="1"/>
    <xf numFmtId="0" fontId="5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2" fillId="0" borderId="0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5" borderId="0" xfId="0" applyFill="1"/>
    <xf numFmtId="0" fontId="9" fillId="5" borderId="0" xfId="0" applyFont="1" applyFill="1"/>
    <xf numFmtId="0" fontId="0" fillId="0" borderId="0" xfId="0" applyAlignment="1">
      <alignment horizontal="left"/>
    </xf>
    <xf numFmtId="165" fontId="0" fillId="0" borderId="0" xfId="0" applyNumberFormat="1"/>
    <xf numFmtId="0" fontId="9" fillId="5" borderId="0" xfId="0" applyFont="1" applyFill="1" applyAlignment="1">
      <alignment horizontal="left"/>
    </xf>
    <xf numFmtId="0" fontId="9" fillId="0" borderId="0" xfId="0" applyFont="1" applyFill="1"/>
    <xf numFmtId="0" fontId="0" fillId="7" borderId="0" xfId="0" applyFont="1" applyFill="1" applyAlignment="1">
      <alignment horizontal="left"/>
    </xf>
    <xf numFmtId="0" fontId="0" fillId="7" borderId="0" xfId="0" applyFill="1"/>
    <xf numFmtId="165" fontId="5" fillId="0" borderId="0" xfId="0" applyNumberFormat="1" applyFont="1" applyFill="1" applyBorder="1" applyAlignment="1">
      <alignment horizontal="center"/>
    </xf>
    <xf numFmtId="165" fontId="0" fillId="0" borderId="0" xfId="0" applyNumberFormat="1" applyFill="1"/>
    <xf numFmtId="0" fontId="10" fillId="0" borderId="0" xfId="0" applyFont="1"/>
    <xf numFmtId="0" fontId="0" fillId="8" borderId="0" xfId="0" applyFill="1"/>
    <xf numFmtId="0" fontId="11" fillId="5" borderId="0" xfId="1" applyFont="1" applyFill="1"/>
    <xf numFmtId="0" fontId="12" fillId="5" borderId="0" xfId="1" applyFont="1" applyFill="1"/>
    <xf numFmtId="0" fontId="13" fillId="5" borderId="0" xfId="1" applyFont="1" applyFill="1"/>
    <xf numFmtId="0" fontId="11" fillId="0" borderId="0" xfId="1" applyFont="1" applyFill="1"/>
    <xf numFmtId="171" fontId="0" fillId="6" borderId="0" xfId="0" applyNumberFormat="1" applyFont="1" applyFill="1"/>
    <xf numFmtId="171" fontId="9" fillId="5" borderId="0" xfId="0" applyNumberFormat="1" applyFont="1" applyFill="1"/>
    <xf numFmtId="171" fontId="0" fillId="0" borderId="0" xfId="0" applyNumberFormat="1" applyFill="1"/>
    <xf numFmtId="0" fontId="0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14" fillId="0" borderId="0" xfId="0" applyFont="1" applyFill="1"/>
    <xf numFmtId="0" fontId="16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" fontId="0" fillId="6" borderId="0" xfId="0" applyNumberFormat="1" applyFont="1" applyFill="1"/>
    <xf numFmtId="1" fontId="9" fillId="5" borderId="0" xfId="0" applyNumberFormat="1" applyFont="1" applyFill="1"/>
    <xf numFmtId="0" fontId="0" fillId="9" borderId="0" xfId="0" applyFill="1"/>
    <xf numFmtId="1" fontId="0" fillId="0" borderId="0" xfId="0" applyNumberFormat="1" applyFill="1"/>
  </cellXfs>
  <cellStyles count="2">
    <cellStyle name="Normal" xfId="0" builtinId="0"/>
    <cellStyle name="Título" xfId="1" builtinId="15"/>
  </cellStyles>
  <dxfs count="29">
    <dxf>
      <font>
        <color theme="0"/>
      </font>
      <fill>
        <patternFill patternType="solid">
          <fgColor indexed="64"/>
          <bgColor rgb="FF2C2C2C"/>
        </patternFill>
      </fill>
    </dxf>
    <dxf>
      <font>
        <color theme="0"/>
      </font>
      <fill>
        <patternFill patternType="solid">
          <fgColor indexed="64"/>
          <bgColor rgb="FF2C2C2C"/>
        </patternFill>
      </fill>
    </dxf>
    <dxf>
      <font>
        <color theme="0"/>
      </font>
      <fill>
        <patternFill patternType="solid">
          <fgColor indexed="64"/>
          <bgColor rgb="FF2C2C2C"/>
        </patternFill>
      </fill>
    </dxf>
    <dxf>
      <font>
        <color theme="0"/>
      </font>
      <fill>
        <patternFill patternType="solid">
          <fgColor indexed="64"/>
          <bgColor rgb="FF2C2C2C"/>
        </patternFill>
      </fill>
    </dxf>
    <dxf>
      <font>
        <color theme="0"/>
      </font>
      <fill>
        <patternFill patternType="solid">
          <fgColor indexed="64"/>
          <bgColor rgb="FF2C2C2C"/>
        </patternFill>
      </fill>
    </dxf>
    <dxf>
      <font>
        <color theme="0"/>
      </font>
      <fill>
        <patternFill patternType="solid">
          <fgColor indexed="64"/>
          <bgColor rgb="FF2C2C2C"/>
        </patternFill>
      </fill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fill>
        <patternFill patternType="solid">
          <bgColor rgb="FF2C2C2C"/>
        </patternFill>
      </fill>
    </dxf>
    <dxf>
      <fill>
        <patternFill patternType="solid">
          <bgColor rgb="FF2C2C2C"/>
        </patternFill>
      </fill>
    </dxf>
    <dxf>
      <fill>
        <patternFill patternType="solid">
          <bgColor rgb="FF2C2C2C"/>
        </patternFill>
      </fill>
    </dxf>
    <dxf>
      <fill>
        <patternFill patternType="solid">
          <bgColor rgb="FF2C2C2C"/>
        </patternFill>
      </fill>
    </dxf>
    <dxf>
      <fill>
        <patternFill patternType="solid">
          <bgColor rgb="FF2C2C2C"/>
        </patternFill>
      </fill>
    </dxf>
    <dxf>
      <fill>
        <patternFill patternType="solid">
          <bgColor rgb="FF2C2C2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0"/>
        </patternFill>
      </fill>
    </dxf>
    <dxf>
      <font>
        <color theme="1"/>
      </font>
    </dxf>
    <dxf>
      <fill>
        <patternFill>
          <bgColor theme="0"/>
        </patternFill>
      </fill>
    </dxf>
    <dxf>
      <font>
        <color theme="1"/>
      </font>
    </dxf>
    <dxf>
      <fill>
        <patternFill>
          <bgColor rgb="FFB18E0F"/>
        </patternFill>
      </fill>
    </dxf>
    <dxf>
      <numFmt numFmtId="171" formatCode="&quot;R$&quot;\ #,##0.00"/>
    </dxf>
    <dxf>
      <numFmt numFmtId="1" formatCode="0"/>
    </dxf>
    <dxf>
      <fill>
        <patternFill patternType="none">
          <bgColor auto="1"/>
        </patternFill>
      </fill>
    </dxf>
    <dxf>
      <font>
        <b/>
        <i val="0"/>
        <color theme="0"/>
      </font>
      <fill>
        <patternFill patternType="solid">
          <bgColor rgb="FF2C2C2C"/>
        </patternFill>
      </fill>
    </dxf>
  </dxfs>
  <tableStyles count="1" defaultTableStyle="TableStyleMedium2" defaultPivotStyle="PivotStyleLight16">
    <tableStyle name="Estilo de Segmentação de Dados 1" pivot="0" table="0" count="10" xr9:uid="{0F7287A9-62D2-4F0A-80E5-FD651798B032}">
      <tableStyleElement type="wholeTable" dxfId="28"/>
      <tableStyleElement type="headerRow" dxfId="2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F2E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EEE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8C84A"/>
      <rgbColor rgb="FFC9A227"/>
      <rgbColor rgb="FFFF6600"/>
      <rgbColor rgb="FF606060"/>
      <rgbColor rgb="FF878787"/>
      <rgbColor rgb="FF003366"/>
      <rgbColor rgb="FF339966"/>
      <rgbColor rgb="FF0D0D0D"/>
      <rgbColor rgb="FF1A1A1A"/>
      <rgbColor rgb="FFB22222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C2C2C"/>
      <color rgb="FFE8E6E9"/>
      <color rgb="FFB18E0F"/>
      <color rgb="FFE1C987"/>
      <color rgb="FF97790D"/>
      <color rgb="FFE8C84A"/>
      <color rgb="FFC9A227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rgb="FFE1C987"/>
            </patternFill>
          </fill>
        </dxf>
        <dxf>
          <fill>
            <patternFill>
              <bgColor rgb="FFE1C987"/>
            </patternFill>
          </fill>
        </dxf>
        <dxf>
          <fill>
            <patternFill>
              <bgColor rgb="FFE1C987"/>
            </patternFill>
          </fill>
        </dxf>
        <dxf>
          <fill>
            <patternFill>
              <bgColor rgb="FFE1C987"/>
            </patternFill>
          </fill>
        </dxf>
        <dxf>
          <fill>
            <patternFill patternType="none">
              <bgColor auto="1"/>
            </patternFill>
          </fill>
        </dxf>
        <dxf>
          <fill>
            <patternFill>
              <bgColor rgb="FFB18E0F"/>
            </patternFill>
          </fill>
        </dxf>
        <dxf>
          <fill>
            <patternFill>
              <bgColor theme="0" tint="-4.9989318521683403E-2"/>
            </patternFill>
          </fill>
        </dxf>
        <dxf>
          <font>
            <color theme="1"/>
          </font>
          <fill>
            <patternFill>
              <b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[fiel_corinthians_dashboard.xlsx]Cálculos!tbl_valorestotais_sccp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18E0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18E0F"/>
          </a:solidFill>
          <a:ln>
            <a:noFill/>
          </a:ln>
          <a:effectLst/>
        </c:spPr>
      </c:pivotFmt>
      <c:pivotFmt>
        <c:idx val="4"/>
        <c:spPr>
          <a:solidFill>
            <a:srgbClr val="2C2C2C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629507784129721E-2"/>
          <c:y val="0.12580365998936904"/>
          <c:w val="0.86268705281702796"/>
          <c:h val="0.8741963400106309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Cálculos!$C$11</c:f>
              <c:strCache>
                <c:ptCount val="1"/>
                <c:pt idx="0">
                  <c:v>Contagem de Nome</c:v>
                </c:pt>
              </c:strCache>
            </c:strRef>
          </c:tx>
          <c:spPr>
            <a:solidFill>
              <a:srgbClr val="2C2C2C"/>
            </a:solidFill>
            <a:ln>
              <a:noFill/>
            </a:ln>
            <a:effectLst/>
          </c:spPr>
          <c:invertIfNegative val="0"/>
          <c:cat>
            <c:strRef>
              <c:f>Cálculos!$B$12:$B$17</c:f>
              <c:strCache>
                <c:ptCount val="5"/>
                <c:pt idx="0">
                  <c:v>Fiel Digital</c:v>
                </c:pt>
                <c:pt idx="1">
                  <c:v>Meu Amor</c:v>
                </c:pt>
                <c:pt idx="2">
                  <c:v>Minha Cadeira</c:v>
                </c:pt>
                <c:pt idx="3">
                  <c:v>Minha História</c:v>
                </c:pt>
                <c:pt idx="4">
                  <c:v>Minha Vida</c:v>
                </c:pt>
              </c:strCache>
            </c:strRef>
          </c:cat>
          <c:val>
            <c:numRef>
              <c:f>Cálculos!$C$12:$C$17</c:f>
              <c:numCache>
                <c:formatCode>0</c:formatCode>
                <c:ptCount val="5"/>
                <c:pt idx="0">
                  <c:v>66</c:v>
                </c:pt>
                <c:pt idx="1">
                  <c:v>23</c:v>
                </c:pt>
                <c:pt idx="2">
                  <c:v>10</c:v>
                </c:pt>
                <c:pt idx="3">
                  <c:v>28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3-412B-9E4B-0B135BF9C593}"/>
            </c:ext>
          </c:extLst>
        </c:ser>
        <c:ser>
          <c:idx val="1"/>
          <c:order val="1"/>
          <c:tx>
            <c:strRef>
              <c:f>Cálculos!$D$11</c:f>
              <c:strCache>
                <c:ptCount val="1"/>
                <c:pt idx="0">
                  <c:v>Soma de Valor Mensalidade (R$)</c:v>
                </c:pt>
              </c:strCache>
            </c:strRef>
          </c:tx>
          <c:spPr>
            <a:solidFill>
              <a:srgbClr val="B18E0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Cálculos!$B$12:$B$17</c:f>
              <c:strCache>
                <c:ptCount val="5"/>
                <c:pt idx="0">
                  <c:v>Fiel Digital</c:v>
                </c:pt>
                <c:pt idx="1">
                  <c:v>Meu Amor</c:v>
                </c:pt>
                <c:pt idx="2">
                  <c:v>Minha Cadeira</c:v>
                </c:pt>
                <c:pt idx="3">
                  <c:v>Minha História</c:v>
                </c:pt>
                <c:pt idx="4">
                  <c:v>Minha Vida</c:v>
                </c:pt>
              </c:strCache>
            </c:strRef>
          </c:cat>
          <c:val>
            <c:numRef>
              <c:f>Cálculos!$D$12:$D$17</c:f>
              <c:numCache>
                <c:formatCode>"R$"\ #,##0.00</c:formatCode>
                <c:ptCount val="5"/>
                <c:pt idx="0">
                  <c:v>983.39999999999895</c:v>
                </c:pt>
                <c:pt idx="1">
                  <c:v>6900</c:v>
                </c:pt>
                <c:pt idx="2">
                  <c:v>7000</c:v>
                </c:pt>
                <c:pt idx="3">
                  <c:v>1635</c:v>
                </c:pt>
                <c:pt idx="4">
                  <c:v>1046.2600000000002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F3-412B-9E4B-0B135BF9C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37324992"/>
        <c:axId val="1637325824"/>
      </c:barChart>
      <c:catAx>
        <c:axId val="163732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37325824"/>
        <c:crosses val="autoZero"/>
        <c:auto val="1"/>
        <c:lblAlgn val="ctr"/>
        <c:lblOffset val="100"/>
        <c:noMultiLvlLbl val="0"/>
      </c:catAx>
      <c:valAx>
        <c:axId val="1637325824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163732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14121208061417"/>
          <c:y val="0.337654557667251"/>
          <c:w val="0.19125157145505442"/>
          <c:h val="0.122098776756144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14</xdr:row>
      <xdr:rowOff>152400</xdr:rowOff>
    </xdr:from>
    <xdr:to>
      <xdr:col>0</xdr:col>
      <xdr:colOff>993280</xdr:colOff>
      <xdr:row>18</xdr:row>
      <xdr:rowOff>85726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1693CB-F6A5-403C-953F-7BB029DC6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628900"/>
          <a:ext cx="717055" cy="695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20</xdr:row>
      <xdr:rowOff>76200</xdr:rowOff>
    </xdr:from>
    <xdr:to>
      <xdr:col>0</xdr:col>
      <xdr:colOff>1110520</xdr:colOff>
      <xdr:row>26</xdr:row>
      <xdr:rowOff>85725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2A741D5-8F6E-41A5-8508-4EC8806C0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695700"/>
          <a:ext cx="91049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381001</xdr:colOff>
      <xdr:row>1</xdr:row>
      <xdr:rowOff>9525</xdr:rowOff>
    </xdr:from>
    <xdr:to>
      <xdr:col>0</xdr:col>
      <xdr:colOff>1304925</xdr:colOff>
      <xdr:row>5</xdr:row>
      <xdr:rowOff>131298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146C98-3D32-4F46-B4A8-F8C96E611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295275"/>
          <a:ext cx="923924" cy="1169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9</xdr:row>
      <xdr:rowOff>93568</xdr:rowOff>
    </xdr:from>
    <xdr:to>
      <xdr:col>0</xdr:col>
      <xdr:colOff>1752600</xdr:colOff>
      <xdr:row>14</xdr:row>
      <xdr:rowOff>64993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Tipo Pagamento">
              <a:extLst>
                <a:ext uri="{FF2B5EF4-FFF2-40B4-BE49-F238E27FC236}">
                  <a16:creationId xmlns:a16="http://schemas.microsoft.com/office/drawing/2014/main" id="{92BC60E2-BDBB-411B-BCAF-35D6048D36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Pag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22686"/>
              <a:ext cx="17526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67235</xdr:colOff>
      <xdr:row>33</xdr:row>
      <xdr:rowOff>97495</xdr:rowOff>
    </xdr:from>
    <xdr:to>
      <xdr:col>19</xdr:col>
      <xdr:colOff>22412</xdr:colOff>
      <xdr:row>53</xdr:row>
      <xdr:rowOff>67237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25D7C3CD-5537-4A31-8175-546C25DEE8C0}"/>
            </a:ext>
          </a:extLst>
        </xdr:cNvPr>
        <xdr:cNvGrpSpPr/>
      </xdr:nvGrpSpPr>
      <xdr:grpSpPr>
        <a:xfrm>
          <a:off x="3036794" y="6821024"/>
          <a:ext cx="9637059" cy="3779742"/>
          <a:chOff x="2080611" y="3690337"/>
          <a:chExt cx="11014692" cy="3543206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3958A312-6F31-4DE3-99A6-FC79013C1B76}"/>
              </a:ext>
            </a:extLst>
          </xdr:cNvPr>
          <xdr:cNvGraphicFramePr>
            <a:graphicFrameLocks/>
          </xdr:cNvGraphicFramePr>
        </xdr:nvGraphicFramePr>
        <xdr:xfrm>
          <a:off x="2080611" y="3942728"/>
          <a:ext cx="11005270" cy="32908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5E1DA199-909B-4A39-84B5-DE0E5D915047}"/>
              </a:ext>
            </a:extLst>
          </xdr:cNvPr>
          <xdr:cNvSpPr/>
        </xdr:nvSpPr>
        <xdr:spPr>
          <a:xfrm>
            <a:off x="2080611" y="3690337"/>
            <a:ext cx="11014692" cy="679519"/>
          </a:xfrm>
          <a:prstGeom prst="round2SameRect">
            <a:avLst/>
          </a:prstGeom>
          <a:solidFill>
            <a:srgbClr val="2C2C2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TOTAL DE VENDAS DE ASSINATURAS</a:t>
            </a:r>
            <a:r>
              <a:rPr lang="pt-BR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DOS PLANOS DE SÓCIO TORCEDORES</a:t>
            </a:r>
            <a:endParaRPr lang="pt-BR" sz="16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14</xdr:row>
      <xdr:rowOff>112060</xdr:rowOff>
    </xdr:from>
    <xdr:to>
      <xdr:col>0</xdr:col>
      <xdr:colOff>1752600</xdr:colOff>
      <xdr:row>20</xdr:row>
      <xdr:rowOff>35860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tatus">
              <a:extLst>
                <a:ext uri="{FF2B5EF4-FFF2-40B4-BE49-F238E27FC236}">
                  <a16:creationId xmlns:a16="http://schemas.microsoft.com/office/drawing/2014/main" id="{61B0BD0A-2FEF-431E-A353-70C6B59B39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193678"/>
              <a:ext cx="1752600" cy="1066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67235</xdr:colOff>
      <xdr:row>21</xdr:row>
      <xdr:rowOff>42997</xdr:rowOff>
    </xdr:from>
    <xdr:to>
      <xdr:col>12</xdr:col>
      <xdr:colOff>56029</xdr:colOff>
      <xdr:row>31</xdr:row>
      <xdr:rowOff>160872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63BDF46A-9705-43CE-97AF-1B2E933F78B7}"/>
            </a:ext>
          </a:extLst>
        </xdr:cNvPr>
        <xdr:cNvGrpSpPr/>
      </xdr:nvGrpSpPr>
      <xdr:grpSpPr>
        <a:xfrm>
          <a:off x="3036794" y="4458115"/>
          <a:ext cx="5434853" cy="2045286"/>
          <a:chOff x="3848100" y="1209676"/>
          <a:chExt cx="5638800" cy="2019298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2E628AB3-12CB-45EB-A3C1-C63E3F886D17}"/>
              </a:ext>
            </a:extLst>
          </xdr:cNvPr>
          <xdr:cNvGrpSpPr/>
        </xdr:nvGrpSpPr>
        <xdr:grpSpPr>
          <a:xfrm>
            <a:off x="3848100" y="1209676"/>
            <a:ext cx="5638800" cy="2019298"/>
            <a:chOff x="2838450" y="1181101"/>
            <a:chExt cx="5638800" cy="2019298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65601B88-C6EA-4CC6-B9EE-F0B26E4527C9}"/>
                </a:ext>
              </a:extLst>
            </xdr:cNvPr>
            <xdr:cNvSpPr/>
          </xdr:nvSpPr>
          <xdr:spPr>
            <a:xfrm>
              <a:off x="2838450" y="1216411"/>
              <a:ext cx="5627771" cy="198398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Cálculos!F17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CEA9468A-2F60-4265-A377-9D8E107600F7}"/>
                </a:ext>
              </a:extLst>
            </xdr:cNvPr>
            <xdr:cNvSpPr/>
          </xdr:nvSpPr>
          <xdr:spPr>
            <a:xfrm>
              <a:off x="4329962" y="2085975"/>
              <a:ext cx="3162300" cy="762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4A966D6-2388-435B-BE11-2470AB7A0FE3}" type="TxLink">
                <a:rPr lang="en-US" sz="4000" b="0" i="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pPr algn="ctr"/>
                <a:t>R$ 17.564,66</a:t>
              </a:fld>
              <a:endParaRPr lang="pt-BR" sz="4000"/>
            </a:p>
          </xdr:txBody>
        </xdr:sp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855719D4-F53A-4DDA-B364-8BA02E632280}"/>
                </a:ext>
              </a:extLst>
            </xdr:cNvPr>
            <xdr:cNvSpPr/>
          </xdr:nvSpPr>
          <xdr:spPr>
            <a:xfrm>
              <a:off x="2838450" y="1181101"/>
              <a:ext cx="5638800" cy="704850"/>
            </a:xfrm>
            <a:prstGeom prst="round2SameRect">
              <a:avLst/>
            </a:prstGeom>
            <a:solidFill>
              <a:srgbClr val="2C2C2C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VALOR</a:t>
              </a:r>
              <a:r>
                <a:rPr lang="pt-BR" sz="16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TOTAL DE VENDAS DE ASSINATURA </a:t>
              </a:r>
              <a:endParaRPr lang="pt-BR" sz="16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D1648BC8-59E4-46B0-A9EA-83D9CAE844A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276725" y="2152649"/>
            <a:ext cx="717055" cy="6953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12</xdr:col>
      <xdr:colOff>425572</xdr:colOff>
      <xdr:row>21</xdr:row>
      <xdr:rowOff>37714</xdr:rowOff>
    </xdr:from>
    <xdr:to>
      <xdr:col>19</xdr:col>
      <xdr:colOff>1</xdr:colOff>
      <xdr:row>31</xdr:row>
      <xdr:rowOff>166155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262F0C1D-A8D7-4878-A71D-55BF70227C88}"/>
            </a:ext>
          </a:extLst>
        </xdr:cNvPr>
        <xdr:cNvGrpSpPr/>
      </xdr:nvGrpSpPr>
      <xdr:grpSpPr>
        <a:xfrm>
          <a:off x="8841190" y="4452832"/>
          <a:ext cx="3810252" cy="2055852"/>
          <a:chOff x="3848100" y="1209676"/>
          <a:chExt cx="5638800" cy="2019297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12D28B28-12CC-48FB-801B-183A1F795E98}"/>
              </a:ext>
            </a:extLst>
          </xdr:cNvPr>
          <xdr:cNvGrpSpPr/>
        </xdr:nvGrpSpPr>
        <xdr:grpSpPr>
          <a:xfrm>
            <a:off x="3848100" y="1209676"/>
            <a:ext cx="5638800" cy="2019297"/>
            <a:chOff x="2838450" y="1181101"/>
            <a:chExt cx="5638800" cy="2019297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7F2667AA-D8B6-4334-AAD1-C4A44D7FC2D0}"/>
                </a:ext>
              </a:extLst>
            </xdr:cNvPr>
            <xdr:cNvSpPr/>
          </xdr:nvSpPr>
          <xdr:spPr>
            <a:xfrm>
              <a:off x="2849737" y="1259626"/>
              <a:ext cx="5619750" cy="194077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Cálculos!H17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EE1769CB-AD40-4599-8DE5-BD1EC9167554}"/>
                </a:ext>
              </a:extLst>
            </xdr:cNvPr>
            <xdr:cNvSpPr/>
          </xdr:nvSpPr>
          <xdr:spPr>
            <a:xfrm>
              <a:off x="4284818" y="2127151"/>
              <a:ext cx="3162301" cy="762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ED729D5-B7B9-4034-BC85-B4BFC442476B}" type="TxLink">
                <a:rPr lang="en-US" sz="4000" b="0" i="0" u="none" strike="noStrike">
                  <a:solidFill>
                    <a:srgbClr val="000000"/>
                  </a:solidFill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pPr algn="ctr"/>
                <a:t>173</a:t>
              </a:fld>
              <a:endParaRPr lang="pt-BR" sz="40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3" name="Retângulo: Cantos Superiores Arredondados 22">
              <a:extLst>
                <a:ext uri="{FF2B5EF4-FFF2-40B4-BE49-F238E27FC236}">
                  <a16:creationId xmlns:a16="http://schemas.microsoft.com/office/drawing/2014/main" id="{86F97963-7DCC-4F1C-BD51-17ADA2EDB743}"/>
                </a:ext>
              </a:extLst>
            </xdr:cNvPr>
            <xdr:cNvSpPr/>
          </xdr:nvSpPr>
          <xdr:spPr>
            <a:xfrm>
              <a:off x="2838450" y="1181101"/>
              <a:ext cx="5638800" cy="704850"/>
            </a:xfrm>
            <a:prstGeom prst="round2SameRect">
              <a:avLst/>
            </a:prstGeom>
            <a:solidFill>
              <a:srgbClr val="2C2C2C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6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DE TORCEDORES FILTRADOS</a:t>
              </a:r>
              <a:endParaRPr lang="pt-BR" sz="16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A20079EC-3BFC-45A1-8D03-8CFF0F4BC88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276726" y="2189063"/>
            <a:ext cx="1064272" cy="6953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9</xdr:col>
      <xdr:colOff>526677</xdr:colOff>
      <xdr:row>5</xdr:row>
      <xdr:rowOff>172570</xdr:rowOff>
    </xdr:from>
    <xdr:to>
      <xdr:col>15</xdr:col>
      <xdr:colOff>504265</xdr:colOff>
      <xdr:row>16</xdr:row>
      <xdr:rowOff>110510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5D80DD5B-DA28-428F-84F8-9D219306E9BB}"/>
            </a:ext>
          </a:extLst>
        </xdr:cNvPr>
        <xdr:cNvGrpSpPr/>
      </xdr:nvGrpSpPr>
      <xdr:grpSpPr>
        <a:xfrm>
          <a:off x="7126942" y="1517276"/>
          <a:ext cx="3608294" cy="2055852"/>
          <a:chOff x="3848100" y="1209676"/>
          <a:chExt cx="5638800" cy="2019297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A13A2C42-97D7-4624-9A6D-E1EF3C0FD148}"/>
              </a:ext>
            </a:extLst>
          </xdr:cNvPr>
          <xdr:cNvGrpSpPr/>
        </xdr:nvGrpSpPr>
        <xdr:grpSpPr>
          <a:xfrm>
            <a:off x="3848100" y="1209676"/>
            <a:ext cx="5638800" cy="2019297"/>
            <a:chOff x="2838450" y="1181101"/>
            <a:chExt cx="5638800" cy="2019297"/>
          </a:xfrm>
        </xdr:grpSpPr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466DC17B-6B48-44CB-9728-79703D47E597}"/>
                </a:ext>
              </a:extLst>
            </xdr:cNvPr>
            <xdr:cNvSpPr/>
          </xdr:nvSpPr>
          <xdr:spPr>
            <a:xfrm>
              <a:off x="2849737" y="1259626"/>
              <a:ext cx="5619750" cy="194077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Cálculos!F24">
          <xdr:nvSpPr>
            <xdr:cNvPr id="29" name="Retângulo: Cantos Arredondados 28">
              <a:extLst>
                <a:ext uri="{FF2B5EF4-FFF2-40B4-BE49-F238E27FC236}">
                  <a16:creationId xmlns:a16="http://schemas.microsoft.com/office/drawing/2014/main" id="{4A881694-96DD-4A5D-9227-E41F4FF28239}"/>
                </a:ext>
              </a:extLst>
            </xdr:cNvPr>
            <xdr:cNvSpPr/>
          </xdr:nvSpPr>
          <xdr:spPr>
            <a:xfrm>
              <a:off x="4337352" y="2141236"/>
              <a:ext cx="3162300" cy="762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301CEE4-5EC4-4CA7-A0E8-855B9BD72B4F}" type="TxLink">
                <a:rPr lang="en-US" sz="4000" b="0" i="0" u="none" strike="noStrike">
                  <a:solidFill>
                    <a:srgbClr val="000000"/>
                  </a:solidFill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pPr algn="ctr"/>
                <a:t>173</a:t>
              </a:fld>
              <a:endParaRPr lang="pt-BR" sz="40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0" name="Retângulo: Cantos Superiores Arredondados 29">
              <a:extLst>
                <a:ext uri="{FF2B5EF4-FFF2-40B4-BE49-F238E27FC236}">
                  <a16:creationId xmlns:a16="http://schemas.microsoft.com/office/drawing/2014/main" id="{4C0911BD-3716-4B0B-8604-7DB1C5585AB2}"/>
                </a:ext>
              </a:extLst>
            </xdr:cNvPr>
            <xdr:cNvSpPr/>
          </xdr:nvSpPr>
          <xdr:spPr>
            <a:xfrm>
              <a:off x="2838450" y="1181101"/>
              <a:ext cx="5638800" cy="704850"/>
            </a:xfrm>
            <a:prstGeom prst="round2SameRect">
              <a:avLst/>
            </a:prstGeom>
            <a:solidFill>
              <a:srgbClr val="2C2C2C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SÓCIOS ATIVOS</a:t>
              </a:r>
            </a:p>
          </xdr:txBody>
        </xdr:sp>
      </xdr:grpSp>
      <xdr:pic>
        <xdr:nvPicPr>
          <xdr:cNvPr id="27" name="Imagem 26">
            <a:extLst>
              <a:ext uri="{FF2B5EF4-FFF2-40B4-BE49-F238E27FC236}">
                <a16:creationId xmlns:a16="http://schemas.microsoft.com/office/drawing/2014/main" id="{3206F739-7671-4385-81F4-8326B9E0D2C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276725" y="2203148"/>
            <a:ext cx="1129925" cy="6953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16</xdr:col>
      <xdr:colOff>331694</xdr:colOff>
      <xdr:row>5</xdr:row>
      <xdr:rowOff>172570</xdr:rowOff>
    </xdr:from>
    <xdr:to>
      <xdr:col>22</xdr:col>
      <xdr:colOff>309282</xdr:colOff>
      <xdr:row>16</xdr:row>
      <xdr:rowOff>110510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D0CAA0DB-EDF9-48DB-803D-865A1B812EE7}"/>
            </a:ext>
          </a:extLst>
        </xdr:cNvPr>
        <xdr:cNvGrpSpPr/>
      </xdr:nvGrpSpPr>
      <xdr:grpSpPr>
        <a:xfrm>
          <a:off x="11167782" y="1517276"/>
          <a:ext cx="3608294" cy="2055852"/>
          <a:chOff x="3848100" y="1209676"/>
          <a:chExt cx="5638800" cy="2019297"/>
        </a:xfrm>
      </xdr:grpSpPr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D41969F8-7963-477B-890E-0A13FABC6202}"/>
              </a:ext>
            </a:extLst>
          </xdr:cNvPr>
          <xdr:cNvGrpSpPr/>
        </xdr:nvGrpSpPr>
        <xdr:grpSpPr>
          <a:xfrm>
            <a:off x="3848100" y="1209676"/>
            <a:ext cx="5638800" cy="2019297"/>
            <a:chOff x="2838450" y="1181101"/>
            <a:chExt cx="5638800" cy="2019297"/>
          </a:xfrm>
        </xdr:grpSpPr>
        <xdr:sp macro="" textlink="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03F55320-C364-41FB-9D3D-91C25070AFD5}"/>
                </a:ext>
              </a:extLst>
            </xdr:cNvPr>
            <xdr:cNvSpPr/>
          </xdr:nvSpPr>
          <xdr:spPr>
            <a:xfrm>
              <a:off x="2849737" y="1259626"/>
              <a:ext cx="5619750" cy="194077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Cálculos!F25">
          <xdr:nvSpPr>
            <xdr:cNvPr id="35" name="Retângulo: Cantos Arredondados 34">
              <a:extLst>
                <a:ext uri="{FF2B5EF4-FFF2-40B4-BE49-F238E27FC236}">
                  <a16:creationId xmlns:a16="http://schemas.microsoft.com/office/drawing/2014/main" id="{C520433B-F9F3-4B50-ABFE-8408828467BB}"/>
                </a:ext>
              </a:extLst>
            </xdr:cNvPr>
            <xdr:cNvSpPr/>
          </xdr:nvSpPr>
          <xdr:spPr>
            <a:xfrm>
              <a:off x="4284817" y="2127151"/>
              <a:ext cx="3162300" cy="762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C08AF52-A016-49C4-B3D3-8D453B12A172}" type="TxLink">
                <a:rPr lang="en-US" sz="4000" b="0" i="0" u="none" strike="noStrike">
                  <a:solidFill>
                    <a:srgbClr val="000000"/>
                  </a:solidFill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pPr algn="ctr"/>
                <a:t>27</a:t>
              </a:fld>
              <a:endParaRPr lang="pt-BR" sz="40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6" name="Retângulo: Cantos Superiores Arredondados 35">
              <a:extLst>
                <a:ext uri="{FF2B5EF4-FFF2-40B4-BE49-F238E27FC236}">
                  <a16:creationId xmlns:a16="http://schemas.microsoft.com/office/drawing/2014/main" id="{1BA5D9BE-B6F8-478D-B2B3-CFA44788B2FC}"/>
                </a:ext>
              </a:extLst>
            </xdr:cNvPr>
            <xdr:cNvSpPr/>
          </xdr:nvSpPr>
          <xdr:spPr>
            <a:xfrm>
              <a:off x="2838450" y="1181101"/>
              <a:ext cx="5638800" cy="704850"/>
            </a:xfrm>
            <a:prstGeom prst="round2SameRect">
              <a:avLst/>
            </a:prstGeom>
            <a:solidFill>
              <a:srgbClr val="2C2C2C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SÓCIOS</a:t>
              </a:r>
              <a:r>
                <a:rPr lang="pt-BR" sz="16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INATIVOS</a:t>
              </a:r>
            </a:p>
          </xdr:txBody>
        </xdr:sp>
      </xdr:grpSp>
      <xdr:pic>
        <xdr:nvPicPr>
          <xdr:cNvPr id="33" name="Imagem 32">
            <a:extLst>
              <a:ext uri="{FF2B5EF4-FFF2-40B4-BE49-F238E27FC236}">
                <a16:creationId xmlns:a16="http://schemas.microsoft.com/office/drawing/2014/main" id="{387E72A3-D24A-4AAA-99AD-C617716FDBA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276725" y="2189063"/>
            <a:ext cx="1129925" cy="6953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3</xdr:col>
      <xdr:colOff>67234</xdr:colOff>
      <xdr:row>5</xdr:row>
      <xdr:rowOff>172570</xdr:rowOff>
    </xdr:from>
    <xdr:to>
      <xdr:col>9</xdr:col>
      <xdr:colOff>44822</xdr:colOff>
      <xdr:row>16</xdr:row>
      <xdr:rowOff>110510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75F7A69D-5C10-44BF-B745-1555BA8C8FED}"/>
            </a:ext>
          </a:extLst>
        </xdr:cNvPr>
        <xdr:cNvGrpSpPr/>
      </xdr:nvGrpSpPr>
      <xdr:grpSpPr>
        <a:xfrm>
          <a:off x="3036793" y="1517276"/>
          <a:ext cx="3608294" cy="2055852"/>
          <a:chOff x="3848100" y="1209676"/>
          <a:chExt cx="5638800" cy="2019297"/>
        </a:xfrm>
      </xdr:grpSpPr>
      <xdr:grpSp>
        <xdr:nvGrpSpPr>
          <xdr:cNvPr id="38" name="Agrupar 37">
            <a:extLst>
              <a:ext uri="{FF2B5EF4-FFF2-40B4-BE49-F238E27FC236}">
                <a16:creationId xmlns:a16="http://schemas.microsoft.com/office/drawing/2014/main" id="{B01AD56B-E369-47E4-AD3C-95CEF99F0749}"/>
              </a:ext>
            </a:extLst>
          </xdr:cNvPr>
          <xdr:cNvGrpSpPr/>
        </xdr:nvGrpSpPr>
        <xdr:grpSpPr>
          <a:xfrm>
            <a:off x="3848100" y="1209676"/>
            <a:ext cx="5638800" cy="2019297"/>
            <a:chOff x="2838450" y="1181101"/>
            <a:chExt cx="5638800" cy="2019297"/>
          </a:xfrm>
        </xdr:grpSpPr>
        <xdr:sp macro="" textlink="">
          <xdr:nvSpPr>
            <xdr:cNvPr id="40" name="Retângulo: Cantos Arredondados 39">
              <a:extLst>
                <a:ext uri="{FF2B5EF4-FFF2-40B4-BE49-F238E27FC236}">
                  <a16:creationId xmlns:a16="http://schemas.microsoft.com/office/drawing/2014/main" id="{61137143-D221-4E9F-8702-566D11CDAADF}"/>
                </a:ext>
              </a:extLst>
            </xdr:cNvPr>
            <xdr:cNvSpPr/>
          </xdr:nvSpPr>
          <xdr:spPr>
            <a:xfrm>
              <a:off x="2849737" y="1259626"/>
              <a:ext cx="5619750" cy="1940772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  <a:p>
              <a:pPr algn="ctr"/>
              <a:endPara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sp macro="" textlink="Cálculos!F26">
          <xdr:nvSpPr>
            <xdr:cNvPr id="41" name="Retângulo: Cantos Arredondados 40">
              <a:extLst>
                <a:ext uri="{FF2B5EF4-FFF2-40B4-BE49-F238E27FC236}">
                  <a16:creationId xmlns:a16="http://schemas.microsoft.com/office/drawing/2014/main" id="{0414AE02-8B29-41DB-9AEB-D1F35853E3AD}"/>
                </a:ext>
              </a:extLst>
            </xdr:cNvPr>
            <xdr:cNvSpPr/>
          </xdr:nvSpPr>
          <xdr:spPr>
            <a:xfrm>
              <a:off x="4337352" y="2141236"/>
              <a:ext cx="3162300" cy="7620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4147C76-483A-48C3-9637-90356E9BB7CD}" type="TxLink">
                <a:rPr lang="en-US" sz="4000" b="0" i="0" u="none" strike="noStrike">
                  <a:solidFill>
                    <a:srgbClr val="000000"/>
                  </a:solidFill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pPr algn="ctr"/>
                <a:t>200</a:t>
              </a:fld>
              <a:endParaRPr lang="pt-BR" sz="40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42" name="Retângulo: Cantos Superiores Arredondados 41">
              <a:extLst>
                <a:ext uri="{FF2B5EF4-FFF2-40B4-BE49-F238E27FC236}">
                  <a16:creationId xmlns:a16="http://schemas.microsoft.com/office/drawing/2014/main" id="{B1D79025-9C59-48EE-95C5-414CEAA1FC3C}"/>
                </a:ext>
              </a:extLst>
            </xdr:cNvPr>
            <xdr:cNvSpPr/>
          </xdr:nvSpPr>
          <xdr:spPr>
            <a:xfrm>
              <a:off x="2838450" y="1181101"/>
              <a:ext cx="5638800" cy="704850"/>
            </a:xfrm>
            <a:prstGeom prst="round2SameRect">
              <a:avLst/>
            </a:prstGeom>
            <a:solidFill>
              <a:srgbClr val="2C2C2C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TOTAL DE SÓCIOS </a:t>
              </a:r>
            </a:p>
          </xdr:txBody>
        </xdr:sp>
      </xdr:grpSp>
      <xdr:pic>
        <xdr:nvPicPr>
          <xdr:cNvPr id="39" name="Imagem 38">
            <a:extLst>
              <a:ext uri="{FF2B5EF4-FFF2-40B4-BE49-F238E27FC236}">
                <a16:creationId xmlns:a16="http://schemas.microsoft.com/office/drawing/2014/main" id="{ECE2BF53-2E7D-4125-A0A9-542E601CC42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276725" y="2203148"/>
            <a:ext cx="1129925" cy="69532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Gonzaga" refreshedDate="46165.722966319445" createdVersion="7" refreshedVersion="7" minRefreshableVersion="3" recordCount="200" xr:uid="{4672D9D9-5E36-45DB-98EA-34D6C09653AD}">
  <cacheSource type="worksheet">
    <worksheetSource ref="A1:J201" sheet="Bases"/>
  </cacheSource>
  <cacheFields count="10">
    <cacheField name="ID Sócio" numFmtId="0">
      <sharedItems containsSemiMixedTypes="0" containsString="0" containsNumber="1" containsInteger="1" minValue="1001" maxValue="1200"/>
    </cacheField>
    <cacheField name="Nome" numFmtId="0">
      <sharedItems/>
    </cacheField>
    <cacheField name="Plano" numFmtId="0">
      <sharedItems count="5">
        <s v="Minha Vida"/>
        <s v="Minha História"/>
        <s v="Fiel Digital"/>
        <s v="Meu Amor"/>
        <s v="Minha Cadeira"/>
      </sharedItems>
    </cacheField>
    <cacheField name="Data Adesão" numFmtId="14">
      <sharedItems containsSemiMixedTypes="0" containsNonDate="0" containsDate="1" containsString="0" minDate="2024-01-01T00:00:00" maxDate="2025-04-30T00:00:00"/>
    </cacheField>
    <cacheField name="Mês Adesão" numFmtId="0">
      <sharedItems/>
    </cacheField>
    <cacheField name="Estado" numFmtId="0">
      <sharedItems/>
    </cacheField>
    <cacheField name="Renovação Automática" numFmtId="0">
      <sharedItems/>
    </cacheField>
    <cacheField name="Tipo Pagamento" numFmtId="0">
      <sharedItems count="2">
        <s v="Mensal"/>
        <s v="Anual"/>
      </sharedItems>
    </cacheField>
    <cacheField name="Valor Mensalidade (R$)" numFmtId="4">
      <sharedItems containsSemiMixedTypes="0" containsString="0" containsNumber="1" minValue="14.9" maxValue="700"/>
    </cacheField>
    <cacheField name="Status" numFmtId="0">
      <sharedItems count="2">
        <s v="Ativo"/>
        <s v="Inativo"/>
      </sharedItems>
    </cacheField>
  </cacheFields>
  <extLst>
    <ext xmlns:x14="http://schemas.microsoft.com/office/spreadsheetml/2009/9/main" uri="{725AE2AE-9491-48be-B2B4-4EB974FC3084}">
      <x14:pivotCacheDefinition pivotCacheId="20520737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s v="Maria Lima"/>
    <x v="0"/>
    <d v="2024-05-05T00:00:00"/>
    <s v="May/2024"/>
    <s v="SP"/>
    <s v="Sim"/>
    <x v="0"/>
    <n v="24.5"/>
    <x v="0"/>
  </r>
  <r>
    <n v="1002"/>
    <s v="Lucas Silva"/>
    <x v="0"/>
    <d v="2024-02-17T00:00:00"/>
    <s v="Feb/2024"/>
    <s v="SP"/>
    <s v="Sim"/>
    <x v="0"/>
    <n v="24.5"/>
    <x v="0"/>
  </r>
  <r>
    <n v="1003"/>
    <s v="Luciana Carvalho"/>
    <x v="1"/>
    <d v="2024-08-02T00:00:00"/>
    <s v="Aug/2024"/>
    <s v="SP"/>
    <s v="Sim"/>
    <x v="0"/>
    <n v="60"/>
    <x v="0"/>
  </r>
  <r>
    <n v="1004"/>
    <s v="Rita Melo"/>
    <x v="1"/>
    <d v="2024-06-23T00:00:00"/>
    <s v="Jun/2024"/>
    <s v="RJ"/>
    <s v="Sim"/>
    <x v="1"/>
    <n v="55"/>
    <x v="1"/>
  </r>
  <r>
    <n v="1005"/>
    <s v="Lara Souza"/>
    <x v="2"/>
    <d v="2024-07-02T00:00:00"/>
    <s v="Jul/2024"/>
    <s v="MG"/>
    <s v="Sim"/>
    <x v="0"/>
    <n v="14.9"/>
    <x v="0"/>
  </r>
  <r>
    <n v="1006"/>
    <s v="Lara Oliveira"/>
    <x v="0"/>
    <d v="2024-10-09T00:00:00"/>
    <s v="Oct/2024"/>
    <s v="RJ"/>
    <s v="Não"/>
    <x v="1"/>
    <n v="20.83"/>
    <x v="0"/>
  </r>
  <r>
    <n v="1007"/>
    <s v="Márcia Oliveira"/>
    <x v="0"/>
    <d v="2024-01-24T00:00:00"/>
    <s v="Jan/2024"/>
    <s v="PE"/>
    <s v="Sim"/>
    <x v="0"/>
    <n v="24.5"/>
    <x v="0"/>
  </r>
  <r>
    <n v="1008"/>
    <s v="Camila Araújo"/>
    <x v="3"/>
    <d v="2024-05-22T00:00:00"/>
    <s v="May/2024"/>
    <s v="RS"/>
    <s v="Sim"/>
    <x v="1"/>
    <n v="300"/>
    <x v="0"/>
  </r>
  <r>
    <n v="1009"/>
    <s v="Jorge Lima"/>
    <x v="2"/>
    <d v="2024-12-25T00:00:00"/>
    <s v="Dec/2024"/>
    <s v="PE"/>
    <s v="Sim"/>
    <x v="0"/>
    <n v="14.9"/>
    <x v="0"/>
  </r>
  <r>
    <n v="1010"/>
    <s v="Caio Ferreira"/>
    <x v="0"/>
    <d v="2024-08-24T00:00:00"/>
    <s v="Aug/2024"/>
    <s v="MG"/>
    <s v="Sim"/>
    <x v="0"/>
    <n v="24.5"/>
    <x v="1"/>
  </r>
  <r>
    <n v="1011"/>
    <s v="Renata Santos"/>
    <x v="1"/>
    <d v="2024-04-27T00:00:00"/>
    <s v="Apr/2024"/>
    <s v="SP"/>
    <s v="Não"/>
    <x v="0"/>
    <n v="60"/>
    <x v="0"/>
  </r>
  <r>
    <n v="1012"/>
    <s v="Daniela Costa"/>
    <x v="2"/>
    <d v="2024-04-18T00:00:00"/>
    <s v="Apr/2024"/>
    <s v="CE"/>
    <s v="Sim"/>
    <x v="0"/>
    <n v="14.9"/>
    <x v="1"/>
  </r>
  <r>
    <n v="1013"/>
    <s v="Sofia Pereira"/>
    <x v="2"/>
    <d v="2025-01-16T00:00:00"/>
    <s v="Jan/2025"/>
    <s v="BA"/>
    <s v="Sim"/>
    <x v="0"/>
    <n v="14.9"/>
    <x v="0"/>
  </r>
  <r>
    <n v="1014"/>
    <s v="Matheus Martins"/>
    <x v="3"/>
    <d v="2024-04-22T00:00:00"/>
    <s v="Apr/2024"/>
    <s v="SP"/>
    <s v="Sim"/>
    <x v="1"/>
    <n v="300"/>
    <x v="0"/>
  </r>
  <r>
    <n v="1015"/>
    <s v="Bruno Ferreira"/>
    <x v="3"/>
    <d v="2025-02-09T00:00:00"/>
    <s v="Feb/2025"/>
    <s v="PE"/>
    <s v="Sim"/>
    <x v="1"/>
    <n v="300"/>
    <x v="0"/>
  </r>
  <r>
    <n v="1016"/>
    <s v="Raquel Rocha"/>
    <x v="0"/>
    <d v="2024-05-08T00:00:00"/>
    <s v="May/2024"/>
    <s v="BA"/>
    <s v="Não"/>
    <x v="0"/>
    <n v="24.5"/>
    <x v="0"/>
  </r>
  <r>
    <n v="1017"/>
    <s v="Amanda Lima"/>
    <x v="1"/>
    <d v="2025-01-28T00:00:00"/>
    <s v="Jan/2025"/>
    <s v="CE"/>
    <s v="Sim"/>
    <x v="0"/>
    <n v="60"/>
    <x v="0"/>
  </r>
  <r>
    <n v="1018"/>
    <s v="Nilo Lima"/>
    <x v="0"/>
    <d v="2024-09-13T00:00:00"/>
    <s v="Sep/2024"/>
    <s v="SP"/>
    <s v="Sim"/>
    <x v="1"/>
    <n v="20.83"/>
    <x v="0"/>
  </r>
  <r>
    <n v="1019"/>
    <s v="Vinicius Moraes"/>
    <x v="3"/>
    <d v="2024-04-11T00:00:00"/>
    <s v="Apr/2024"/>
    <s v="SP"/>
    <s v="Sim"/>
    <x v="1"/>
    <n v="300"/>
    <x v="0"/>
  </r>
  <r>
    <n v="1020"/>
    <s v="Tânia Silva"/>
    <x v="0"/>
    <d v="2024-02-27T00:00:00"/>
    <s v="Feb/2024"/>
    <s v="MG"/>
    <s v="Não"/>
    <x v="1"/>
    <n v="20.83"/>
    <x v="0"/>
  </r>
  <r>
    <n v="1021"/>
    <s v="Caio Nascimento"/>
    <x v="2"/>
    <d v="2025-04-29T00:00:00"/>
    <s v="Apr/2025"/>
    <s v="SP"/>
    <s v="Sim"/>
    <x v="0"/>
    <n v="14.9"/>
    <x v="0"/>
  </r>
  <r>
    <n v="1022"/>
    <s v="Amanda Rodrigues"/>
    <x v="4"/>
    <d v="2024-03-06T00:00:00"/>
    <s v="Mar/2024"/>
    <s v="PE"/>
    <s v="Sim"/>
    <x v="1"/>
    <n v="700"/>
    <x v="0"/>
  </r>
  <r>
    <n v="1023"/>
    <s v="Fábio Melo"/>
    <x v="0"/>
    <d v="2024-04-18T00:00:00"/>
    <s v="Apr/2024"/>
    <s v="BA"/>
    <s v="Sim"/>
    <x v="1"/>
    <n v="20.83"/>
    <x v="0"/>
  </r>
  <r>
    <n v="1024"/>
    <s v="Jorge Martins"/>
    <x v="0"/>
    <d v="2024-08-12T00:00:00"/>
    <s v="Aug/2024"/>
    <s v="SC"/>
    <s v="Sim"/>
    <x v="0"/>
    <n v="24.5"/>
    <x v="0"/>
  </r>
  <r>
    <n v="1025"/>
    <s v="Elisa Carvalho"/>
    <x v="2"/>
    <d v="2024-04-27T00:00:00"/>
    <s v="Apr/2024"/>
    <s v="GO"/>
    <s v="Sim"/>
    <x v="0"/>
    <n v="14.9"/>
    <x v="0"/>
  </r>
  <r>
    <n v="1026"/>
    <s v="Lucas Costa"/>
    <x v="2"/>
    <d v="2024-02-06T00:00:00"/>
    <s v="Feb/2024"/>
    <s v="SC"/>
    <s v="Sim"/>
    <x v="0"/>
    <n v="14.9"/>
    <x v="0"/>
  </r>
  <r>
    <n v="1027"/>
    <s v="Nilo Nascimento"/>
    <x v="0"/>
    <d v="2024-10-22T00:00:00"/>
    <s v="Oct/2024"/>
    <s v="PR"/>
    <s v="Sim"/>
    <x v="1"/>
    <n v="20.83"/>
    <x v="0"/>
  </r>
  <r>
    <n v="1028"/>
    <s v="Camila Melo"/>
    <x v="2"/>
    <d v="2024-06-30T00:00:00"/>
    <s v="Jun/2024"/>
    <s v="MG"/>
    <s v="Sim"/>
    <x v="0"/>
    <n v="14.9"/>
    <x v="0"/>
  </r>
  <r>
    <n v="1029"/>
    <s v="Ingrid Souza"/>
    <x v="1"/>
    <d v="2024-02-01T00:00:00"/>
    <s v="Feb/2024"/>
    <s v="MG"/>
    <s v="Sim"/>
    <x v="0"/>
    <n v="60"/>
    <x v="0"/>
  </r>
  <r>
    <n v="1030"/>
    <s v="Lívia Carvalho"/>
    <x v="2"/>
    <d v="2024-08-17T00:00:00"/>
    <s v="Aug/2024"/>
    <s v="SP"/>
    <s v="Sim"/>
    <x v="0"/>
    <n v="14.9"/>
    <x v="0"/>
  </r>
  <r>
    <n v="1031"/>
    <s v="Pedro Barbosa"/>
    <x v="3"/>
    <d v="2025-02-17T00:00:00"/>
    <s v="Feb/2025"/>
    <s v="BA"/>
    <s v="Sim"/>
    <x v="1"/>
    <n v="300"/>
    <x v="0"/>
  </r>
  <r>
    <n v="1032"/>
    <s v="Patrícia Pereira"/>
    <x v="4"/>
    <d v="2024-03-26T00:00:00"/>
    <s v="Mar/2024"/>
    <s v="MG"/>
    <s v="Sim"/>
    <x v="1"/>
    <n v="700"/>
    <x v="0"/>
  </r>
  <r>
    <n v="1033"/>
    <s v="Rita Araújo"/>
    <x v="3"/>
    <d v="2024-01-02T00:00:00"/>
    <s v="Jan/2024"/>
    <s v="MG"/>
    <s v="Sim"/>
    <x v="1"/>
    <n v="300"/>
    <x v="0"/>
  </r>
  <r>
    <n v="1034"/>
    <s v="Luciana Carvalho"/>
    <x v="2"/>
    <d v="2024-12-04T00:00:00"/>
    <s v="Dec/2024"/>
    <s v="AM"/>
    <s v="Sim"/>
    <x v="0"/>
    <n v="14.9"/>
    <x v="0"/>
  </r>
  <r>
    <n v="1035"/>
    <s v="Elisa Carvalho"/>
    <x v="4"/>
    <d v="2024-02-01T00:00:00"/>
    <s v="Feb/2024"/>
    <s v="RJ"/>
    <s v="Sim"/>
    <x v="1"/>
    <n v="700"/>
    <x v="0"/>
  </r>
  <r>
    <n v="1036"/>
    <s v="Vinicius Oliveira"/>
    <x v="2"/>
    <d v="2025-03-11T00:00:00"/>
    <s v="Mar/2025"/>
    <s v="SP"/>
    <s v="Sim"/>
    <x v="0"/>
    <n v="14.9"/>
    <x v="0"/>
  </r>
  <r>
    <n v="1037"/>
    <s v="Daniela Pereira"/>
    <x v="0"/>
    <d v="2024-10-23T00:00:00"/>
    <s v="Oct/2024"/>
    <s v="DF"/>
    <s v="Sim"/>
    <x v="1"/>
    <n v="20.83"/>
    <x v="0"/>
  </r>
  <r>
    <n v="1038"/>
    <s v="Diogo Costa"/>
    <x v="3"/>
    <d v="2024-05-02T00:00:00"/>
    <s v="May/2024"/>
    <s v="RJ"/>
    <s v="Sim"/>
    <x v="1"/>
    <n v="300"/>
    <x v="0"/>
  </r>
  <r>
    <n v="1039"/>
    <s v="Patrícia Oliveira"/>
    <x v="0"/>
    <d v="2024-01-05T00:00:00"/>
    <s v="Jan/2024"/>
    <s v="RS"/>
    <s v="Sim"/>
    <x v="0"/>
    <n v="24.5"/>
    <x v="0"/>
  </r>
  <r>
    <n v="1040"/>
    <s v="Diogo Rocha"/>
    <x v="2"/>
    <d v="2024-05-15T00:00:00"/>
    <s v="May/2024"/>
    <s v="SP"/>
    <s v="Não"/>
    <x v="0"/>
    <n v="14.9"/>
    <x v="1"/>
  </r>
  <r>
    <n v="1041"/>
    <s v="Rita Barbosa"/>
    <x v="2"/>
    <d v="2025-03-02T00:00:00"/>
    <s v="Mar/2025"/>
    <s v="BA"/>
    <s v="Sim"/>
    <x v="0"/>
    <n v="14.9"/>
    <x v="0"/>
  </r>
  <r>
    <n v="1042"/>
    <s v="Carlos Gomes"/>
    <x v="1"/>
    <d v="2025-04-22T00:00:00"/>
    <s v="Apr/2025"/>
    <s v="PE"/>
    <s v="Sim"/>
    <x v="1"/>
    <n v="55"/>
    <x v="1"/>
  </r>
  <r>
    <n v="1043"/>
    <s v="Camila Carvalho"/>
    <x v="2"/>
    <d v="2024-03-20T00:00:00"/>
    <s v="Mar/2024"/>
    <s v="RJ"/>
    <s v="Sim"/>
    <x v="0"/>
    <n v="14.9"/>
    <x v="0"/>
  </r>
  <r>
    <n v="1044"/>
    <s v="Hélio Lima"/>
    <x v="2"/>
    <d v="2024-09-15T00:00:00"/>
    <s v="Sep/2024"/>
    <s v="PR"/>
    <s v="Sim"/>
    <x v="0"/>
    <n v="14.9"/>
    <x v="1"/>
  </r>
  <r>
    <n v="1045"/>
    <s v="Otávio Lima"/>
    <x v="2"/>
    <d v="2024-01-23T00:00:00"/>
    <s v="Jan/2024"/>
    <s v="SP"/>
    <s v="Sim"/>
    <x v="0"/>
    <n v="14.9"/>
    <x v="0"/>
  </r>
  <r>
    <n v="1046"/>
    <s v="Paula Carvalho"/>
    <x v="2"/>
    <d v="2024-12-27T00:00:00"/>
    <s v="Dec/2024"/>
    <s v="MG"/>
    <s v="Sim"/>
    <x v="0"/>
    <n v="14.9"/>
    <x v="0"/>
  </r>
  <r>
    <n v="1047"/>
    <s v="Joaquim Nascimento"/>
    <x v="0"/>
    <d v="2024-10-09T00:00:00"/>
    <s v="Oct/2024"/>
    <s v="SP"/>
    <s v="Sim"/>
    <x v="1"/>
    <n v="20.83"/>
    <x v="0"/>
  </r>
  <r>
    <n v="1048"/>
    <s v="Lucas Martins"/>
    <x v="3"/>
    <d v="2024-04-17T00:00:00"/>
    <s v="Apr/2024"/>
    <s v="PE"/>
    <s v="Sim"/>
    <x v="1"/>
    <n v="300"/>
    <x v="0"/>
  </r>
  <r>
    <n v="1049"/>
    <s v="Oscar Rodrigues"/>
    <x v="4"/>
    <d v="2025-04-18T00:00:00"/>
    <s v="Apr/2025"/>
    <s v="SP"/>
    <s v="Não"/>
    <x v="1"/>
    <n v="700"/>
    <x v="1"/>
  </r>
  <r>
    <n v="1050"/>
    <s v="Maria Ferreira"/>
    <x v="3"/>
    <d v="2025-01-12T00:00:00"/>
    <s v="Jan/2025"/>
    <s v="RJ"/>
    <s v="Não"/>
    <x v="1"/>
    <n v="300"/>
    <x v="0"/>
  </r>
  <r>
    <n v="1051"/>
    <s v="Luciana Souza"/>
    <x v="2"/>
    <d v="2024-07-14T00:00:00"/>
    <s v="Jul/2024"/>
    <s v="SP"/>
    <s v="Não"/>
    <x v="0"/>
    <n v="14.9"/>
    <x v="0"/>
  </r>
  <r>
    <n v="1052"/>
    <s v="Fernanda Pereira"/>
    <x v="2"/>
    <d v="2024-01-13T00:00:00"/>
    <s v="Jan/2024"/>
    <s v="PE"/>
    <s v="Sim"/>
    <x v="0"/>
    <n v="14.9"/>
    <x v="0"/>
  </r>
  <r>
    <n v="1053"/>
    <s v="César Martins"/>
    <x v="4"/>
    <d v="2024-11-24T00:00:00"/>
    <s v="Nov/2024"/>
    <s v="SC"/>
    <s v="Sim"/>
    <x v="1"/>
    <n v="700"/>
    <x v="1"/>
  </r>
  <r>
    <n v="1054"/>
    <s v="André Lima"/>
    <x v="3"/>
    <d v="2024-04-01T00:00:00"/>
    <s v="Apr/2024"/>
    <s v="GO"/>
    <s v="Não"/>
    <x v="1"/>
    <n v="300"/>
    <x v="0"/>
  </r>
  <r>
    <n v="1055"/>
    <s v="Isabela Costa"/>
    <x v="0"/>
    <d v="2024-08-11T00:00:00"/>
    <s v="Aug/2024"/>
    <s v="DF"/>
    <s v="Não"/>
    <x v="0"/>
    <n v="24.5"/>
    <x v="0"/>
  </r>
  <r>
    <n v="1056"/>
    <s v="Márcia Melo"/>
    <x v="2"/>
    <d v="2024-01-01T00:00:00"/>
    <s v="Jan/2024"/>
    <s v="SC"/>
    <s v="Não"/>
    <x v="0"/>
    <n v="14.9"/>
    <x v="0"/>
  </r>
  <r>
    <n v="1057"/>
    <s v="Pedro Costa"/>
    <x v="2"/>
    <d v="2024-11-15T00:00:00"/>
    <s v="Nov/2024"/>
    <s v="RJ"/>
    <s v="Sim"/>
    <x v="0"/>
    <n v="14.9"/>
    <x v="0"/>
  </r>
  <r>
    <n v="1058"/>
    <s v="Jorge Melo"/>
    <x v="0"/>
    <d v="2024-06-16T00:00:00"/>
    <s v="Jun/2024"/>
    <s v="MG"/>
    <s v="Sim"/>
    <x v="0"/>
    <n v="24.5"/>
    <x v="0"/>
  </r>
  <r>
    <n v="1059"/>
    <s v="Lara Ferreira"/>
    <x v="0"/>
    <d v="2024-11-11T00:00:00"/>
    <s v="Nov/2024"/>
    <s v="GO"/>
    <s v="Sim"/>
    <x v="0"/>
    <n v="24.5"/>
    <x v="0"/>
  </r>
  <r>
    <n v="1060"/>
    <s v="Diogo Melo"/>
    <x v="2"/>
    <d v="2025-02-06T00:00:00"/>
    <s v="Feb/2025"/>
    <s v="GO"/>
    <s v="Sim"/>
    <x v="0"/>
    <n v="14.9"/>
    <x v="0"/>
  </r>
  <r>
    <n v="1061"/>
    <s v="Diogo Rocha"/>
    <x v="0"/>
    <d v="2024-08-30T00:00:00"/>
    <s v="Aug/2024"/>
    <s v="SP"/>
    <s v="Sim"/>
    <x v="1"/>
    <n v="20.83"/>
    <x v="0"/>
  </r>
  <r>
    <n v="1062"/>
    <s v="Patrícia Pereira"/>
    <x v="2"/>
    <d v="2024-12-10T00:00:00"/>
    <s v="Dec/2024"/>
    <s v="RJ"/>
    <s v="Sim"/>
    <x v="0"/>
    <n v="14.9"/>
    <x v="0"/>
  </r>
  <r>
    <n v="1063"/>
    <s v="Samuel Moraes"/>
    <x v="2"/>
    <d v="2025-03-11T00:00:00"/>
    <s v="Mar/2025"/>
    <s v="SP"/>
    <s v="Sim"/>
    <x v="0"/>
    <n v="14.9"/>
    <x v="1"/>
  </r>
  <r>
    <n v="1064"/>
    <s v="Lara Cardoso"/>
    <x v="1"/>
    <d v="2024-07-23T00:00:00"/>
    <s v="Jul/2024"/>
    <s v="SP"/>
    <s v="Sim"/>
    <x v="0"/>
    <n v="60"/>
    <x v="0"/>
  </r>
  <r>
    <n v="1065"/>
    <s v="Fernanda Ferreira"/>
    <x v="1"/>
    <d v="2025-02-15T00:00:00"/>
    <s v="Feb/2025"/>
    <s v="AM"/>
    <s v="Sim"/>
    <x v="0"/>
    <n v="60"/>
    <x v="0"/>
  </r>
  <r>
    <n v="1066"/>
    <s v="André Barbosa"/>
    <x v="3"/>
    <d v="2024-03-09T00:00:00"/>
    <s v="Mar/2024"/>
    <s v="RS"/>
    <s v="Sim"/>
    <x v="1"/>
    <n v="300"/>
    <x v="1"/>
  </r>
  <r>
    <n v="1067"/>
    <s v="Paula Moraes"/>
    <x v="4"/>
    <d v="2025-02-21T00:00:00"/>
    <s v="Feb/2025"/>
    <s v="SC"/>
    <s v="Sim"/>
    <x v="1"/>
    <n v="700"/>
    <x v="1"/>
  </r>
  <r>
    <n v="1068"/>
    <s v="Oscar Cardoso"/>
    <x v="3"/>
    <d v="2024-08-18T00:00:00"/>
    <s v="Aug/2024"/>
    <s v="RJ"/>
    <s v="Sim"/>
    <x v="1"/>
    <n v="300"/>
    <x v="0"/>
  </r>
  <r>
    <n v="1069"/>
    <s v="Yasmin Cardoso"/>
    <x v="1"/>
    <d v="2024-11-16T00:00:00"/>
    <s v="Nov/2024"/>
    <s v="SP"/>
    <s v="Sim"/>
    <x v="1"/>
    <n v="55"/>
    <x v="0"/>
  </r>
  <r>
    <n v="1070"/>
    <s v="Henrique Costa"/>
    <x v="2"/>
    <d v="2025-04-02T00:00:00"/>
    <s v="Apr/2025"/>
    <s v="BA"/>
    <s v="Sim"/>
    <x v="0"/>
    <n v="14.9"/>
    <x v="0"/>
  </r>
  <r>
    <n v="1071"/>
    <s v="Márcia Alves"/>
    <x v="1"/>
    <d v="2024-02-02T00:00:00"/>
    <s v="Feb/2024"/>
    <s v="MG"/>
    <s v="Sim"/>
    <x v="1"/>
    <n v="55"/>
    <x v="0"/>
  </r>
  <r>
    <n v="1072"/>
    <s v="Nicole Araújo"/>
    <x v="2"/>
    <d v="2025-04-08T00:00:00"/>
    <s v="Apr/2025"/>
    <s v="GO"/>
    <s v="Não"/>
    <x v="0"/>
    <n v="14.9"/>
    <x v="0"/>
  </r>
  <r>
    <n v="1073"/>
    <s v="Isabela Gomes"/>
    <x v="0"/>
    <d v="2025-01-20T00:00:00"/>
    <s v="Jan/2025"/>
    <s v="MG"/>
    <s v="Não"/>
    <x v="1"/>
    <n v="20.83"/>
    <x v="1"/>
  </r>
  <r>
    <n v="1074"/>
    <s v="Oscar Carvalho"/>
    <x v="0"/>
    <d v="2025-02-13T00:00:00"/>
    <s v="Feb/2025"/>
    <s v="DF"/>
    <s v="Não"/>
    <x v="1"/>
    <n v="20.83"/>
    <x v="0"/>
  </r>
  <r>
    <n v="1075"/>
    <s v="Maria Araújo"/>
    <x v="0"/>
    <d v="2024-06-21T00:00:00"/>
    <s v="Jun/2024"/>
    <s v="PE"/>
    <s v="Sim"/>
    <x v="0"/>
    <n v="24.5"/>
    <x v="0"/>
  </r>
  <r>
    <n v="1076"/>
    <s v="Sofia Moraes"/>
    <x v="3"/>
    <d v="2024-09-30T00:00:00"/>
    <s v="Sep/2024"/>
    <s v="SP"/>
    <s v="Não"/>
    <x v="1"/>
    <n v="300"/>
    <x v="0"/>
  </r>
  <r>
    <n v="1077"/>
    <s v="Otávio Rodrigues"/>
    <x v="2"/>
    <d v="2025-03-19T00:00:00"/>
    <s v="Mar/2025"/>
    <s v="RS"/>
    <s v="Sim"/>
    <x v="0"/>
    <n v="14.9"/>
    <x v="0"/>
  </r>
  <r>
    <n v="1078"/>
    <s v="Gabriela Costa"/>
    <x v="2"/>
    <d v="2025-01-24T00:00:00"/>
    <s v="Jan/2025"/>
    <s v="MG"/>
    <s v="Sim"/>
    <x v="0"/>
    <n v="14.9"/>
    <x v="1"/>
  </r>
  <r>
    <n v="1079"/>
    <s v="Felipe Cardoso"/>
    <x v="2"/>
    <d v="2024-01-10T00:00:00"/>
    <s v="Jan/2024"/>
    <s v="BA"/>
    <s v="Sim"/>
    <x v="0"/>
    <n v="14.9"/>
    <x v="1"/>
  </r>
  <r>
    <n v="1080"/>
    <s v="Renata Santos"/>
    <x v="0"/>
    <d v="2025-01-21T00:00:00"/>
    <s v="Jan/2025"/>
    <s v="SP"/>
    <s v="Não"/>
    <x v="0"/>
    <n v="24.5"/>
    <x v="0"/>
  </r>
  <r>
    <n v="1081"/>
    <s v="Caio Rodrigues"/>
    <x v="0"/>
    <d v="2024-08-30T00:00:00"/>
    <s v="Aug/2024"/>
    <s v="PE"/>
    <s v="Sim"/>
    <x v="1"/>
    <n v="20.83"/>
    <x v="1"/>
  </r>
  <r>
    <n v="1082"/>
    <s v="Renata Martins"/>
    <x v="1"/>
    <d v="2024-03-26T00:00:00"/>
    <s v="Mar/2024"/>
    <s v="DF"/>
    <s v="Sim"/>
    <x v="0"/>
    <n v="60"/>
    <x v="0"/>
  </r>
  <r>
    <n v="1083"/>
    <s v="Rita Gomes"/>
    <x v="1"/>
    <d v="2024-02-25T00:00:00"/>
    <s v="Feb/2024"/>
    <s v="GO"/>
    <s v="Sim"/>
    <x v="1"/>
    <n v="55"/>
    <x v="0"/>
  </r>
  <r>
    <n v="1084"/>
    <s v="Márcia Alves"/>
    <x v="0"/>
    <d v="2024-02-08T00:00:00"/>
    <s v="Feb/2024"/>
    <s v="GO"/>
    <s v="Sim"/>
    <x v="0"/>
    <n v="24.5"/>
    <x v="0"/>
  </r>
  <r>
    <n v="1085"/>
    <s v="Eduardo Moraes"/>
    <x v="1"/>
    <d v="2025-02-16T00:00:00"/>
    <s v="Feb/2025"/>
    <s v="SP"/>
    <s v="Não"/>
    <x v="0"/>
    <n v="60"/>
    <x v="0"/>
  </r>
  <r>
    <n v="1086"/>
    <s v="Otávio Martins"/>
    <x v="2"/>
    <d v="2024-02-05T00:00:00"/>
    <s v="Feb/2024"/>
    <s v="SC"/>
    <s v="Sim"/>
    <x v="0"/>
    <n v="14.9"/>
    <x v="0"/>
  </r>
  <r>
    <n v="1087"/>
    <s v="Camila Melo"/>
    <x v="1"/>
    <d v="2024-07-04T00:00:00"/>
    <s v="Jul/2024"/>
    <s v="CE"/>
    <s v="Não"/>
    <x v="0"/>
    <n v="60"/>
    <x v="0"/>
  </r>
  <r>
    <n v="1088"/>
    <s v="Nilo Rocha"/>
    <x v="0"/>
    <d v="2024-11-29T00:00:00"/>
    <s v="Nov/2024"/>
    <s v="RJ"/>
    <s v="Sim"/>
    <x v="1"/>
    <n v="20.83"/>
    <x v="1"/>
  </r>
  <r>
    <n v="1089"/>
    <s v="Nilo Nascimento"/>
    <x v="0"/>
    <d v="2024-05-17T00:00:00"/>
    <s v="May/2024"/>
    <s v="RJ"/>
    <s v="Não"/>
    <x v="0"/>
    <n v="24.5"/>
    <x v="0"/>
  </r>
  <r>
    <n v="1090"/>
    <s v="Paula Pereira"/>
    <x v="2"/>
    <d v="2025-01-19T00:00:00"/>
    <s v="Jan/2025"/>
    <s v="RS"/>
    <s v="Sim"/>
    <x v="0"/>
    <n v="14.9"/>
    <x v="0"/>
  </r>
  <r>
    <n v="1091"/>
    <s v="Gabriela Ferreira"/>
    <x v="2"/>
    <d v="2024-09-06T00:00:00"/>
    <s v="Sep/2024"/>
    <s v="SP"/>
    <s v="Sim"/>
    <x v="0"/>
    <n v="14.9"/>
    <x v="0"/>
  </r>
  <r>
    <n v="1092"/>
    <s v="Luciana Lima"/>
    <x v="3"/>
    <d v="2024-10-11T00:00:00"/>
    <s v="Oct/2024"/>
    <s v="SP"/>
    <s v="Sim"/>
    <x v="1"/>
    <n v="300"/>
    <x v="0"/>
  </r>
  <r>
    <n v="1093"/>
    <s v="Tânia Carvalho"/>
    <x v="1"/>
    <d v="2025-01-23T00:00:00"/>
    <s v="Jan/2025"/>
    <s v="SP"/>
    <s v="Sim"/>
    <x v="1"/>
    <n v="55"/>
    <x v="0"/>
  </r>
  <r>
    <n v="1094"/>
    <s v="Maria Oliveira"/>
    <x v="0"/>
    <d v="2024-05-30T00:00:00"/>
    <s v="May/2024"/>
    <s v="SP"/>
    <s v="Sim"/>
    <x v="1"/>
    <n v="20.83"/>
    <x v="0"/>
  </r>
  <r>
    <n v="1095"/>
    <s v="Yasmin Martins"/>
    <x v="0"/>
    <d v="2024-08-05T00:00:00"/>
    <s v="Aug/2024"/>
    <s v="BA"/>
    <s v="Sim"/>
    <x v="1"/>
    <n v="20.83"/>
    <x v="0"/>
  </r>
  <r>
    <n v="1096"/>
    <s v="Fernanda Souza"/>
    <x v="2"/>
    <d v="2025-01-04T00:00:00"/>
    <s v="Jan/2025"/>
    <s v="SP"/>
    <s v="Sim"/>
    <x v="0"/>
    <n v="14.9"/>
    <x v="0"/>
  </r>
  <r>
    <n v="1097"/>
    <s v="Oscar Cardoso"/>
    <x v="2"/>
    <d v="2024-05-21T00:00:00"/>
    <s v="May/2024"/>
    <s v="GO"/>
    <s v="Não"/>
    <x v="0"/>
    <n v="14.9"/>
    <x v="0"/>
  </r>
  <r>
    <n v="1098"/>
    <s v="Lívia Gomes"/>
    <x v="4"/>
    <d v="2024-04-26T00:00:00"/>
    <s v="Apr/2024"/>
    <s v="MG"/>
    <s v="Sim"/>
    <x v="1"/>
    <n v="700"/>
    <x v="0"/>
  </r>
  <r>
    <n v="1099"/>
    <s v="Ana Carvalho"/>
    <x v="2"/>
    <d v="2024-05-29T00:00:00"/>
    <s v="May/2024"/>
    <s v="AM"/>
    <s v="Não"/>
    <x v="0"/>
    <n v="14.9"/>
    <x v="0"/>
  </r>
  <r>
    <n v="1100"/>
    <s v="João Nascimento"/>
    <x v="2"/>
    <d v="2024-05-25T00:00:00"/>
    <s v="May/2024"/>
    <s v="PR"/>
    <s v="Sim"/>
    <x v="0"/>
    <n v="14.9"/>
    <x v="0"/>
  </r>
  <r>
    <n v="1101"/>
    <s v="Samuel Souza"/>
    <x v="2"/>
    <d v="2025-02-24T00:00:00"/>
    <s v="Feb/2025"/>
    <s v="SP"/>
    <s v="Sim"/>
    <x v="0"/>
    <n v="14.9"/>
    <x v="0"/>
  </r>
  <r>
    <n v="1102"/>
    <s v="Daniela Gomes"/>
    <x v="2"/>
    <d v="2024-02-13T00:00:00"/>
    <s v="Feb/2024"/>
    <s v="SP"/>
    <s v="Sim"/>
    <x v="0"/>
    <n v="14.9"/>
    <x v="0"/>
  </r>
  <r>
    <n v="1103"/>
    <s v="Lara Barbosa"/>
    <x v="1"/>
    <d v="2025-04-10T00:00:00"/>
    <s v="Apr/2025"/>
    <s v="RS"/>
    <s v="Sim"/>
    <x v="1"/>
    <n v="55"/>
    <x v="0"/>
  </r>
  <r>
    <n v="1104"/>
    <s v="Gisele Santos"/>
    <x v="2"/>
    <d v="2024-11-08T00:00:00"/>
    <s v="Nov/2024"/>
    <s v="SP"/>
    <s v="Não"/>
    <x v="0"/>
    <n v="14.9"/>
    <x v="0"/>
  </r>
  <r>
    <n v="1105"/>
    <s v="Felipe Ferreira"/>
    <x v="2"/>
    <d v="2024-05-02T00:00:00"/>
    <s v="May/2024"/>
    <s v="SP"/>
    <s v="Sim"/>
    <x v="0"/>
    <n v="14.9"/>
    <x v="0"/>
  </r>
  <r>
    <n v="1106"/>
    <s v="Fábio Cardoso"/>
    <x v="0"/>
    <d v="2024-05-29T00:00:00"/>
    <s v="May/2024"/>
    <s v="SP"/>
    <s v="Sim"/>
    <x v="1"/>
    <n v="20.83"/>
    <x v="0"/>
  </r>
  <r>
    <n v="1107"/>
    <s v="Fernanda Lima"/>
    <x v="2"/>
    <d v="2025-02-07T00:00:00"/>
    <s v="Feb/2025"/>
    <s v="CE"/>
    <s v="Sim"/>
    <x v="0"/>
    <n v="14.9"/>
    <x v="0"/>
  </r>
  <r>
    <n v="1108"/>
    <s v="Amanda Pereira"/>
    <x v="0"/>
    <d v="2024-11-27T00:00:00"/>
    <s v="Nov/2024"/>
    <s v="SP"/>
    <s v="Não"/>
    <x v="0"/>
    <n v="24.5"/>
    <x v="0"/>
  </r>
  <r>
    <n v="1109"/>
    <s v="Eduardo Moraes"/>
    <x v="2"/>
    <d v="2025-01-18T00:00:00"/>
    <s v="Jan/2025"/>
    <s v="GO"/>
    <s v="Não"/>
    <x v="0"/>
    <n v="14.9"/>
    <x v="0"/>
  </r>
  <r>
    <n v="1110"/>
    <s v="Luciana Araújo"/>
    <x v="1"/>
    <d v="2025-04-27T00:00:00"/>
    <s v="Apr/2025"/>
    <s v="RJ"/>
    <s v="Sim"/>
    <x v="0"/>
    <n v="60"/>
    <x v="0"/>
  </r>
  <r>
    <n v="1111"/>
    <s v="Otávio Costa"/>
    <x v="0"/>
    <d v="2024-11-05T00:00:00"/>
    <s v="Nov/2024"/>
    <s v="RJ"/>
    <s v="Sim"/>
    <x v="0"/>
    <n v="24.5"/>
    <x v="0"/>
  </r>
  <r>
    <n v="1112"/>
    <s v="Kléber Lima"/>
    <x v="4"/>
    <d v="2024-10-22T00:00:00"/>
    <s v="Oct/2024"/>
    <s v="SP"/>
    <s v="Não"/>
    <x v="1"/>
    <n v="700"/>
    <x v="0"/>
  </r>
  <r>
    <n v="1113"/>
    <s v="Marco Nascimento"/>
    <x v="3"/>
    <d v="2024-08-11T00:00:00"/>
    <s v="Aug/2024"/>
    <s v="CE"/>
    <s v="Não"/>
    <x v="1"/>
    <n v="300"/>
    <x v="1"/>
  </r>
  <r>
    <n v="1114"/>
    <s v="Henrique Costa"/>
    <x v="2"/>
    <d v="2024-12-09T00:00:00"/>
    <s v="Dec/2024"/>
    <s v="SP"/>
    <s v="Não"/>
    <x v="0"/>
    <n v="14.9"/>
    <x v="0"/>
  </r>
  <r>
    <n v="1115"/>
    <s v="Matheus Carvalho"/>
    <x v="2"/>
    <d v="2024-01-19T00:00:00"/>
    <s v="Jan/2024"/>
    <s v="RS"/>
    <s v="Sim"/>
    <x v="0"/>
    <n v="14.9"/>
    <x v="0"/>
  </r>
  <r>
    <n v="1116"/>
    <s v="Matheus Rocha"/>
    <x v="4"/>
    <d v="2025-02-26T00:00:00"/>
    <s v="Feb/2025"/>
    <s v="SP"/>
    <s v="Sim"/>
    <x v="1"/>
    <n v="700"/>
    <x v="0"/>
  </r>
  <r>
    <n v="1117"/>
    <s v="Yasmin Martins"/>
    <x v="2"/>
    <d v="2024-11-14T00:00:00"/>
    <s v="Nov/2024"/>
    <s v="PR"/>
    <s v="Sim"/>
    <x v="0"/>
    <n v="14.9"/>
    <x v="0"/>
  </r>
  <r>
    <n v="1118"/>
    <s v="Sofia Gomes"/>
    <x v="2"/>
    <d v="2024-08-12T00:00:00"/>
    <s v="Aug/2024"/>
    <s v="AM"/>
    <s v="Sim"/>
    <x v="0"/>
    <n v="14.9"/>
    <x v="0"/>
  </r>
  <r>
    <n v="1119"/>
    <s v="Eduardo Carvalho"/>
    <x v="1"/>
    <d v="2024-01-08T00:00:00"/>
    <s v="Jan/2024"/>
    <s v="BA"/>
    <s v="Sim"/>
    <x v="0"/>
    <n v="60"/>
    <x v="0"/>
  </r>
  <r>
    <n v="1120"/>
    <s v="André Rodrigues"/>
    <x v="0"/>
    <d v="2024-09-12T00:00:00"/>
    <s v="Sep/2024"/>
    <s v="AM"/>
    <s v="Sim"/>
    <x v="1"/>
    <n v="20.83"/>
    <x v="0"/>
  </r>
  <r>
    <n v="1121"/>
    <s v="Samuel Pereira"/>
    <x v="1"/>
    <d v="2024-08-21T00:00:00"/>
    <s v="Aug/2024"/>
    <s v="BA"/>
    <s v="Sim"/>
    <x v="0"/>
    <n v="60"/>
    <x v="0"/>
  </r>
  <r>
    <n v="1122"/>
    <s v="César Melo"/>
    <x v="3"/>
    <d v="2024-06-23T00:00:00"/>
    <s v="Jun/2024"/>
    <s v="SC"/>
    <s v="Sim"/>
    <x v="1"/>
    <n v="300"/>
    <x v="0"/>
  </r>
  <r>
    <n v="1123"/>
    <s v="Elisa Cardoso"/>
    <x v="1"/>
    <d v="2025-03-19T00:00:00"/>
    <s v="Mar/2025"/>
    <s v="SP"/>
    <s v="Sim"/>
    <x v="1"/>
    <n v="55"/>
    <x v="0"/>
  </r>
  <r>
    <n v="1124"/>
    <s v="Amanda Araújo"/>
    <x v="0"/>
    <d v="2024-08-21T00:00:00"/>
    <s v="Aug/2024"/>
    <s v="RJ"/>
    <s v="Não"/>
    <x v="0"/>
    <n v="24.5"/>
    <x v="1"/>
  </r>
  <r>
    <n v="1125"/>
    <s v="Fernanda Melo"/>
    <x v="0"/>
    <d v="2024-01-23T00:00:00"/>
    <s v="Jan/2024"/>
    <s v="RJ"/>
    <s v="Sim"/>
    <x v="1"/>
    <n v="20.83"/>
    <x v="0"/>
  </r>
  <r>
    <n v="1126"/>
    <s v="Jorge Rodrigues"/>
    <x v="0"/>
    <d v="2024-09-10T00:00:00"/>
    <s v="Sep/2024"/>
    <s v="SP"/>
    <s v="Sim"/>
    <x v="1"/>
    <n v="20.83"/>
    <x v="1"/>
  </r>
  <r>
    <n v="1127"/>
    <s v="Paula Souza"/>
    <x v="3"/>
    <d v="2024-09-26T00:00:00"/>
    <s v="Sep/2024"/>
    <s v="RS"/>
    <s v="Sim"/>
    <x v="1"/>
    <n v="300"/>
    <x v="0"/>
  </r>
  <r>
    <n v="1128"/>
    <s v="Beatriz Costa"/>
    <x v="2"/>
    <d v="2024-11-15T00:00:00"/>
    <s v="Nov/2024"/>
    <s v="AM"/>
    <s v="Sim"/>
    <x v="0"/>
    <n v="14.9"/>
    <x v="0"/>
  </r>
  <r>
    <n v="1129"/>
    <s v="Amanda Araújo"/>
    <x v="3"/>
    <d v="2024-06-11T00:00:00"/>
    <s v="Jun/2024"/>
    <s v="CE"/>
    <s v="Sim"/>
    <x v="1"/>
    <n v="300"/>
    <x v="0"/>
  </r>
  <r>
    <n v="1130"/>
    <s v="Caio Gomes"/>
    <x v="0"/>
    <d v="2024-04-26T00:00:00"/>
    <s v="Apr/2024"/>
    <s v="SP"/>
    <s v="Sim"/>
    <x v="0"/>
    <n v="24.5"/>
    <x v="0"/>
  </r>
  <r>
    <n v="1131"/>
    <s v="Luciana Gomes"/>
    <x v="0"/>
    <d v="2025-04-07T00:00:00"/>
    <s v="Apr/2025"/>
    <s v="SP"/>
    <s v="Sim"/>
    <x v="1"/>
    <n v="20.83"/>
    <x v="0"/>
  </r>
  <r>
    <n v="1132"/>
    <s v="Otávio Rodrigues"/>
    <x v="2"/>
    <d v="2024-05-05T00:00:00"/>
    <s v="May/2024"/>
    <s v="SC"/>
    <s v="Sim"/>
    <x v="0"/>
    <n v="14.9"/>
    <x v="0"/>
  </r>
  <r>
    <n v="1133"/>
    <s v="Felipe Moraes"/>
    <x v="2"/>
    <d v="2025-03-21T00:00:00"/>
    <s v="Mar/2025"/>
    <s v="MG"/>
    <s v="Sim"/>
    <x v="0"/>
    <n v="14.9"/>
    <x v="0"/>
  </r>
  <r>
    <n v="1134"/>
    <s v="Hélio Lima"/>
    <x v="2"/>
    <d v="2024-08-23T00:00:00"/>
    <s v="Aug/2024"/>
    <s v="RJ"/>
    <s v="Sim"/>
    <x v="0"/>
    <n v="14.9"/>
    <x v="1"/>
  </r>
  <r>
    <n v="1135"/>
    <s v="Kléber Carvalho"/>
    <x v="3"/>
    <d v="2024-03-21T00:00:00"/>
    <s v="Mar/2024"/>
    <s v="SP"/>
    <s v="Sim"/>
    <x v="1"/>
    <n v="300"/>
    <x v="0"/>
  </r>
  <r>
    <n v="1136"/>
    <s v="Otávio Lima"/>
    <x v="0"/>
    <d v="2024-08-21T00:00:00"/>
    <s v="Aug/2024"/>
    <s v="RJ"/>
    <s v="Sim"/>
    <x v="1"/>
    <n v="20.83"/>
    <x v="0"/>
  </r>
  <r>
    <n v="1137"/>
    <s v="Lara Nascimento"/>
    <x v="2"/>
    <d v="2024-07-02T00:00:00"/>
    <s v="Jul/2024"/>
    <s v="GO"/>
    <s v="Sim"/>
    <x v="0"/>
    <n v="14.9"/>
    <x v="0"/>
  </r>
  <r>
    <n v="1138"/>
    <s v="Jorge Araújo"/>
    <x v="4"/>
    <d v="2024-05-20T00:00:00"/>
    <s v="May/2024"/>
    <s v="SP"/>
    <s v="Sim"/>
    <x v="1"/>
    <n v="700"/>
    <x v="0"/>
  </r>
  <r>
    <n v="1139"/>
    <s v="Oscar Cardoso"/>
    <x v="3"/>
    <d v="2025-03-02T00:00:00"/>
    <s v="Mar/2025"/>
    <s v="RJ"/>
    <s v="Não"/>
    <x v="1"/>
    <n v="300"/>
    <x v="0"/>
  </r>
  <r>
    <n v="1140"/>
    <s v="Lívia Moraes"/>
    <x v="2"/>
    <d v="2024-05-08T00:00:00"/>
    <s v="May/2024"/>
    <s v="PE"/>
    <s v="Sim"/>
    <x v="0"/>
    <n v="14.9"/>
    <x v="0"/>
  </r>
  <r>
    <n v="1141"/>
    <s v="Hélio Santos"/>
    <x v="0"/>
    <d v="2024-06-07T00:00:00"/>
    <s v="Jun/2024"/>
    <s v="RS"/>
    <s v="Sim"/>
    <x v="0"/>
    <n v="24.5"/>
    <x v="0"/>
  </r>
  <r>
    <n v="1142"/>
    <s v="Débora Costa"/>
    <x v="2"/>
    <d v="2025-01-17T00:00:00"/>
    <s v="Jan/2025"/>
    <s v="MG"/>
    <s v="Sim"/>
    <x v="0"/>
    <n v="14.9"/>
    <x v="0"/>
  </r>
  <r>
    <n v="1143"/>
    <s v="César Ferreira"/>
    <x v="0"/>
    <d v="2024-05-11T00:00:00"/>
    <s v="May/2024"/>
    <s v="PR"/>
    <s v="Não"/>
    <x v="1"/>
    <n v="20.83"/>
    <x v="0"/>
  </r>
  <r>
    <n v="1144"/>
    <s v="Raquel Oliveira"/>
    <x v="1"/>
    <d v="2024-03-13T00:00:00"/>
    <s v="Mar/2024"/>
    <s v="SP"/>
    <s v="Não"/>
    <x v="1"/>
    <n v="55"/>
    <x v="0"/>
  </r>
  <r>
    <n v="1145"/>
    <s v="Carlos Martins"/>
    <x v="4"/>
    <d v="2024-02-16T00:00:00"/>
    <s v="Feb/2024"/>
    <s v="MG"/>
    <s v="Sim"/>
    <x v="1"/>
    <n v="700"/>
    <x v="0"/>
  </r>
  <r>
    <n v="1146"/>
    <s v="Oscar Lima"/>
    <x v="2"/>
    <d v="2024-10-26T00:00:00"/>
    <s v="Oct/2024"/>
    <s v="MG"/>
    <s v="Não"/>
    <x v="0"/>
    <n v="14.9"/>
    <x v="1"/>
  </r>
  <r>
    <n v="1147"/>
    <s v="Samuel Silva"/>
    <x v="1"/>
    <d v="2024-11-13T00:00:00"/>
    <s v="Nov/2024"/>
    <s v="BA"/>
    <s v="Sim"/>
    <x v="0"/>
    <n v="60"/>
    <x v="0"/>
  </r>
  <r>
    <n v="1148"/>
    <s v="Raquel Gomes"/>
    <x v="0"/>
    <d v="2024-11-28T00:00:00"/>
    <s v="Nov/2024"/>
    <s v="MG"/>
    <s v="Sim"/>
    <x v="0"/>
    <n v="24.5"/>
    <x v="0"/>
  </r>
  <r>
    <n v="1149"/>
    <s v="Tânia Souza"/>
    <x v="2"/>
    <d v="2024-02-19T00:00:00"/>
    <s v="Feb/2024"/>
    <s v="SP"/>
    <s v="Não"/>
    <x v="0"/>
    <n v="14.9"/>
    <x v="0"/>
  </r>
  <r>
    <n v="1150"/>
    <s v="Oscar Carvalho"/>
    <x v="2"/>
    <d v="2024-08-02T00:00:00"/>
    <s v="Aug/2024"/>
    <s v="GO"/>
    <s v="Sim"/>
    <x v="0"/>
    <n v="14.9"/>
    <x v="0"/>
  </r>
  <r>
    <n v="1151"/>
    <s v="Tânia Moraes"/>
    <x v="0"/>
    <d v="2024-07-27T00:00:00"/>
    <s v="Jul/2024"/>
    <s v="RJ"/>
    <s v="Sim"/>
    <x v="1"/>
    <n v="20.83"/>
    <x v="0"/>
  </r>
  <r>
    <n v="1152"/>
    <s v="Caio Martins"/>
    <x v="0"/>
    <d v="2024-02-20T00:00:00"/>
    <s v="Feb/2024"/>
    <s v="PE"/>
    <s v="Sim"/>
    <x v="1"/>
    <n v="20.83"/>
    <x v="1"/>
  </r>
  <r>
    <n v="1153"/>
    <s v="César Alves"/>
    <x v="2"/>
    <d v="2024-03-03T00:00:00"/>
    <s v="Mar/2024"/>
    <s v="RS"/>
    <s v="Sim"/>
    <x v="0"/>
    <n v="14.9"/>
    <x v="0"/>
  </r>
  <r>
    <n v="1154"/>
    <s v="Henrique Pereira"/>
    <x v="2"/>
    <d v="2024-03-05T00:00:00"/>
    <s v="Mar/2024"/>
    <s v="GO"/>
    <s v="Sim"/>
    <x v="0"/>
    <n v="14.9"/>
    <x v="0"/>
  </r>
  <r>
    <n v="1155"/>
    <s v="Fernanda Costa"/>
    <x v="0"/>
    <d v="2025-01-31T00:00:00"/>
    <s v="Jan/2025"/>
    <s v="SP"/>
    <s v="Não"/>
    <x v="1"/>
    <n v="20.83"/>
    <x v="0"/>
  </r>
  <r>
    <n v="1156"/>
    <s v="Bruno Rodrigues"/>
    <x v="3"/>
    <d v="2024-10-03T00:00:00"/>
    <s v="Oct/2024"/>
    <s v="RJ"/>
    <s v="Não"/>
    <x v="1"/>
    <n v="300"/>
    <x v="0"/>
  </r>
  <r>
    <n v="1157"/>
    <s v="Isabela Pereira"/>
    <x v="2"/>
    <d v="2024-10-28T00:00:00"/>
    <s v="Oct/2024"/>
    <s v="RJ"/>
    <s v="Sim"/>
    <x v="0"/>
    <n v="14.9"/>
    <x v="0"/>
  </r>
  <r>
    <n v="1158"/>
    <s v="Yasmin Souza"/>
    <x v="1"/>
    <d v="2025-01-16T00:00:00"/>
    <s v="Jan/2025"/>
    <s v="SP"/>
    <s v="Sim"/>
    <x v="0"/>
    <n v="60"/>
    <x v="0"/>
  </r>
  <r>
    <n v="1159"/>
    <s v="Fernanda Moraes"/>
    <x v="0"/>
    <d v="2024-01-23T00:00:00"/>
    <s v="Jan/2024"/>
    <s v="PE"/>
    <s v="Sim"/>
    <x v="0"/>
    <n v="24.5"/>
    <x v="0"/>
  </r>
  <r>
    <n v="1160"/>
    <s v="Samuel Araújo"/>
    <x v="2"/>
    <d v="2024-08-06T00:00:00"/>
    <s v="Aug/2024"/>
    <s v="PE"/>
    <s v="Sim"/>
    <x v="0"/>
    <n v="14.9"/>
    <x v="0"/>
  </r>
  <r>
    <n v="1161"/>
    <s v="Felipe Costa"/>
    <x v="2"/>
    <d v="2024-11-07T00:00:00"/>
    <s v="Nov/2024"/>
    <s v="SP"/>
    <s v="Sim"/>
    <x v="0"/>
    <n v="14.9"/>
    <x v="0"/>
  </r>
  <r>
    <n v="1162"/>
    <s v="Fábio Rocha"/>
    <x v="0"/>
    <d v="2024-05-30T00:00:00"/>
    <s v="May/2024"/>
    <s v="RS"/>
    <s v="Sim"/>
    <x v="0"/>
    <n v="24.5"/>
    <x v="0"/>
  </r>
  <r>
    <n v="1163"/>
    <s v="Ingrid Carvalho"/>
    <x v="3"/>
    <d v="2025-01-04T00:00:00"/>
    <s v="Jan/2025"/>
    <s v="SP"/>
    <s v="Sim"/>
    <x v="1"/>
    <n v="300"/>
    <x v="1"/>
  </r>
  <r>
    <n v="1164"/>
    <s v="Raquel Araújo"/>
    <x v="2"/>
    <d v="2024-07-31T00:00:00"/>
    <s v="Jul/2024"/>
    <s v="SP"/>
    <s v="Sim"/>
    <x v="0"/>
    <n v="14.9"/>
    <x v="0"/>
  </r>
  <r>
    <n v="1165"/>
    <s v="Bruno Cardoso"/>
    <x v="2"/>
    <d v="2024-02-04T00:00:00"/>
    <s v="Feb/2024"/>
    <s v="SP"/>
    <s v="Não"/>
    <x v="0"/>
    <n v="14.9"/>
    <x v="0"/>
  </r>
  <r>
    <n v="1166"/>
    <s v="Joaquim Rodrigues"/>
    <x v="1"/>
    <d v="2024-10-11T00:00:00"/>
    <s v="Oct/2024"/>
    <s v="SP"/>
    <s v="Sim"/>
    <x v="1"/>
    <n v="55"/>
    <x v="0"/>
  </r>
  <r>
    <n v="1167"/>
    <s v="Nicole Martins"/>
    <x v="1"/>
    <d v="2025-03-23T00:00:00"/>
    <s v="Mar/2025"/>
    <s v="PE"/>
    <s v="Não"/>
    <x v="0"/>
    <n v="60"/>
    <x v="0"/>
  </r>
  <r>
    <n v="1168"/>
    <s v="Fábio Gomes"/>
    <x v="4"/>
    <d v="2024-06-29T00:00:00"/>
    <s v="Jun/2024"/>
    <s v="SP"/>
    <s v="Sim"/>
    <x v="1"/>
    <n v="700"/>
    <x v="0"/>
  </r>
  <r>
    <n v="1169"/>
    <s v="Camila Martins"/>
    <x v="2"/>
    <d v="2025-03-08T00:00:00"/>
    <s v="Mar/2025"/>
    <s v="BA"/>
    <s v="Sim"/>
    <x v="0"/>
    <n v="14.9"/>
    <x v="0"/>
  </r>
  <r>
    <n v="1170"/>
    <s v="Carlos Moraes"/>
    <x v="1"/>
    <d v="2024-11-10T00:00:00"/>
    <s v="Nov/2024"/>
    <s v="PE"/>
    <s v="Sim"/>
    <x v="1"/>
    <n v="55"/>
    <x v="0"/>
  </r>
  <r>
    <n v="1171"/>
    <s v="César Gomes"/>
    <x v="2"/>
    <d v="2025-04-16T00:00:00"/>
    <s v="Apr/2025"/>
    <s v="RJ"/>
    <s v="Sim"/>
    <x v="0"/>
    <n v="14.9"/>
    <x v="0"/>
  </r>
  <r>
    <n v="1172"/>
    <s v="Matheus Oliveira"/>
    <x v="0"/>
    <d v="2024-03-13T00:00:00"/>
    <s v="Mar/2024"/>
    <s v="CE"/>
    <s v="Não"/>
    <x v="0"/>
    <n v="24.5"/>
    <x v="0"/>
  </r>
  <r>
    <n v="1173"/>
    <s v="Raquel Costa"/>
    <x v="2"/>
    <d v="2024-03-21T00:00:00"/>
    <s v="Mar/2024"/>
    <s v="MG"/>
    <s v="Sim"/>
    <x v="0"/>
    <n v="14.9"/>
    <x v="0"/>
  </r>
  <r>
    <n v="1174"/>
    <s v="Bruno Ferreira"/>
    <x v="3"/>
    <d v="2025-01-21T00:00:00"/>
    <s v="Jan/2025"/>
    <s v="DF"/>
    <s v="Sim"/>
    <x v="1"/>
    <n v="300"/>
    <x v="0"/>
  </r>
  <r>
    <n v="1175"/>
    <s v="Tânia Moraes"/>
    <x v="1"/>
    <d v="2024-08-14T00:00:00"/>
    <s v="Aug/2024"/>
    <s v="MG"/>
    <s v="Sim"/>
    <x v="0"/>
    <n v="60"/>
    <x v="0"/>
  </r>
  <r>
    <n v="1176"/>
    <s v="André Gomes"/>
    <x v="2"/>
    <d v="2024-12-13T00:00:00"/>
    <s v="Dec/2024"/>
    <s v="PE"/>
    <s v="Sim"/>
    <x v="0"/>
    <n v="14.9"/>
    <x v="0"/>
  </r>
  <r>
    <n v="1177"/>
    <s v="Matheus Moraes"/>
    <x v="2"/>
    <d v="2024-01-29T00:00:00"/>
    <s v="Jan/2024"/>
    <s v="SP"/>
    <s v="Sim"/>
    <x v="0"/>
    <n v="14.9"/>
    <x v="1"/>
  </r>
  <r>
    <n v="1178"/>
    <s v="Débora Costa"/>
    <x v="1"/>
    <d v="2024-03-02T00:00:00"/>
    <s v="Mar/2024"/>
    <s v="SP"/>
    <s v="Sim"/>
    <x v="0"/>
    <n v="60"/>
    <x v="0"/>
  </r>
  <r>
    <n v="1179"/>
    <s v="Márcia Pereira"/>
    <x v="0"/>
    <d v="2024-09-13T00:00:00"/>
    <s v="Sep/2024"/>
    <s v="BA"/>
    <s v="Não"/>
    <x v="0"/>
    <n v="24.5"/>
    <x v="0"/>
  </r>
  <r>
    <n v="1180"/>
    <s v="Oscar Santos"/>
    <x v="0"/>
    <d v="2024-08-11T00:00:00"/>
    <s v="Aug/2024"/>
    <s v="SP"/>
    <s v="Sim"/>
    <x v="1"/>
    <n v="20.83"/>
    <x v="0"/>
  </r>
  <r>
    <n v="1181"/>
    <s v="Daniela Araújo"/>
    <x v="0"/>
    <d v="2024-12-29T00:00:00"/>
    <s v="Dec/2024"/>
    <s v="CE"/>
    <s v="Sim"/>
    <x v="0"/>
    <n v="24.5"/>
    <x v="0"/>
  </r>
  <r>
    <n v="1182"/>
    <s v="Rita Moraes"/>
    <x v="4"/>
    <d v="2024-08-23T00:00:00"/>
    <s v="Aug/2024"/>
    <s v="AM"/>
    <s v="Não"/>
    <x v="1"/>
    <n v="700"/>
    <x v="0"/>
  </r>
  <r>
    <n v="1183"/>
    <s v="Elisa Araújo"/>
    <x v="2"/>
    <d v="2024-09-25T00:00:00"/>
    <s v="Sep/2024"/>
    <s v="SP"/>
    <s v="Sim"/>
    <x v="0"/>
    <n v="14.9"/>
    <x v="0"/>
  </r>
  <r>
    <n v="1184"/>
    <s v="Renata Ferreira"/>
    <x v="2"/>
    <d v="2024-02-09T00:00:00"/>
    <s v="Feb/2024"/>
    <s v="SC"/>
    <s v="Sim"/>
    <x v="0"/>
    <n v="14.9"/>
    <x v="0"/>
  </r>
  <r>
    <n v="1185"/>
    <s v="Isabela Martins"/>
    <x v="3"/>
    <d v="2025-01-07T00:00:00"/>
    <s v="Jan/2025"/>
    <s v="CE"/>
    <s v="Não"/>
    <x v="1"/>
    <n v="300"/>
    <x v="0"/>
  </r>
  <r>
    <n v="1186"/>
    <s v="Marco Moraes"/>
    <x v="2"/>
    <d v="2024-03-19T00:00:00"/>
    <s v="Mar/2024"/>
    <s v="CE"/>
    <s v="Sim"/>
    <x v="0"/>
    <n v="14.9"/>
    <x v="1"/>
  </r>
  <r>
    <n v="1187"/>
    <s v="Daniela Nascimento"/>
    <x v="0"/>
    <d v="2024-08-17T00:00:00"/>
    <s v="Aug/2024"/>
    <s v="PE"/>
    <s v="Não"/>
    <x v="1"/>
    <n v="20.83"/>
    <x v="0"/>
  </r>
  <r>
    <n v="1188"/>
    <s v="Hélio Costa"/>
    <x v="3"/>
    <d v="2024-03-18T00:00:00"/>
    <s v="Mar/2024"/>
    <s v="RS"/>
    <s v="Sim"/>
    <x v="1"/>
    <n v="300"/>
    <x v="0"/>
  </r>
  <r>
    <n v="1189"/>
    <s v="Elisa Santos"/>
    <x v="1"/>
    <d v="2024-06-29T00:00:00"/>
    <s v="Jun/2024"/>
    <s v="SC"/>
    <s v="Sim"/>
    <x v="0"/>
    <n v="60"/>
    <x v="0"/>
  </r>
  <r>
    <n v="1190"/>
    <s v="Débora Oliveira"/>
    <x v="2"/>
    <d v="2024-11-26T00:00:00"/>
    <s v="Nov/2024"/>
    <s v="SP"/>
    <s v="Sim"/>
    <x v="0"/>
    <n v="14.9"/>
    <x v="0"/>
  </r>
  <r>
    <n v="1191"/>
    <s v="Oscar Santos"/>
    <x v="0"/>
    <d v="2024-08-18T00:00:00"/>
    <s v="Aug/2024"/>
    <s v="GO"/>
    <s v="Sim"/>
    <x v="1"/>
    <n v="20.83"/>
    <x v="0"/>
  </r>
  <r>
    <n v="1192"/>
    <s v="Ana Barbosa"/>
    <x v="0"/>
    <d v="2024-02-22T00:00:00"/>
    <s v="Feb/2024"/>
    <s v="RJ"/>
    <s v="Não"/>
    <x v="0"/>
    <n v="24.5"/>
    <x v="0"/>
  </r>
  <r>
    <n v="1193"/>
    <s v="Márcia Barbosa"/>
    <x v="2"/>
    <d v="2024-08-12T00:00:00"/>
    <s v="Aug/2024"/>
    <s v="SC"/>
    <s v="Sim"/>
    <x v="0"/>
    <n v="14.9"/>
    <x v="0"/>
  </r>
  <r>
    <n v="1194"/>
    <s v="Lara Melo"/>
    <x v="3"/>
    <d v="2025-01-31T00:00:00"/>
    <s v="Jan/2025"/>
    <s v="RJ"/>
    <s v="Sim"/>
    <x v="1"/>
    <n v="300"/>
    <x v="0"/>
  </r>
  <r>
    <n v="1195"/>
    <s v="Camila Carvalho"/>
    <x v="2"/>
    <d v="2024-12-13T00:00:00"/>
    <s v="Dec/2024"/>
    <s v="MG"/>
    <s v="Sim"/>
    <x v="0"/>
    <n v="14.9"/>
    <x v="0"/>
  </r>
  <r>
    <n v="1196"/>
    <s v="Elisa Rodrigues"/>
    <x v="2"/>
    <d v="2025-04-14T00:00:00"/>
    <s v="Apr/2025"/>
    <s v="MG"/>
    <s v="Sim"/>
    <x v="0"/>
    <n v="14.9"/>
    <x v="0"/>
  </r>
  <r>
    <n v="1197"/>
    <s v="Márcia Oliveira"/>
    <x v="2"/>
    <d v="2024-06-07T00:00:00"/>
    <s v="Jun/2024"/>
    <s v="BA"/>
    <s v="Sim"/>
    <x v="0"/>
    <n v="14.9"/>
    <x v="0"/>
  </r>
  <r>
    <n v="1198"/>
    <s v="Oscar Rocha"/>
    <x v="1"/>
    <d v="2024-02-17T00:00:00"/>
    <s v="Feb/2024"/>
    <s v="CE"/>
    <s v="Sim"/>
    <x v="0"/>
    <n v="60"/>
    <x v="0"/>
  </r>
  <r>
    <n v="1199"/>
    <s v="Marco Alves"/>
    <x v="2"/>
    <d v="2024-06-23T00:00:00"/>
    <s v="Jun/2024"/>
    <s v="PR"/>
    <s v="Sim"/>
    <x v="0"/>
    <n v="14.9"/>
    <x v="1"/>
  </r>
  <r>
    <n v="1200"/>
    <s v="Camila Rocha"/>
    <x v="2"/>
    <d v="2025-01-29T00:00:00"/>
    <s v="Jan/2025"/>
    <s v="BA"/>
    <s v="Não"/>
    <x v="0"/>
    <n v="14.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193F5-0BC0-451C-B9B2-90F8DE911C76}" name="Tabela dinâmica5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B23:C26" firstHeaderRow="1" firstDataRow="1" firstDataCol="1"/>
  <pivotFields count="10"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numFmtId="4" showAll="0"/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ntagem de Nome" fld="1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9" type="button" dataOnly="0" labelOnly="1" outline="0" axis="axisRow" fieldPosition="0"/>
    </format>
    <format dxfId="2">
      <pivotArea dataOnly="0" labelOnly="1" fieldPosition="0">
        <references count="1">
          <reference field="9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BE034-E412-4226-A5F4-95A5A3DD7991}" name="tbl_valorestotais_sccp" cacheId="1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B11:D17" firstHeaderRow="0" firstDataRow="1" firstDataCol="1" rowPageCount="2" colPageCount="1"/>
  <pivotFields count="10">
    <pivotField showAll="0"/>
    <pivotField dataField="1" showAll="0"/>
    <pivotField axis="axisRow" showAll="0">
      <items count="6">
        <item x="2"/>
        <item x="3"/>
        <item x="4"/>
        <item x="1"/>
        <item x="0"/>
        <item t="default"/>
      </items>
    </pivotField>
    <pivotField numFmtId="14"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dataField="1" numFmtId="4" showAll="0"/>
    <pivotField axis="axisPage" multipleItemSelectionAllowed="1" showAll="0">
      <items count="3">
        <item x="0"/>
        <item h="1" x="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2">
    <pageField fld="7" hier="-1"/>
    <pageField fld="9" hier="-1"/>
  </pageFields>
  <dataFields count="2">
    <dataField name="Contagem de Nome" fld="1" subtotal="count" baseField="0" baseItem="0" numFmtId="1"/>
    <dataField name="Soma de Valor Mensalidade (R$)" fld="8" baseField="0" baseItem="0" numFmtId="171"/>
  </dataFields>
  <formats count="21">
    <format dxfId="6">
      <pivotArea outline="0" collapsedLevelsAreSubtotals="1" fieldPosition="0"/>
    </format>
    <format dxfId="7">
      <pivotArea dataOnly="0" labelOnly="1" outline="0" axis="axisValues" fieldPosition="0"/>
    </format>
    <format dxfId="8">
      <pivotArea type="all" dataOnly="0" outline="0" fieldPosition="0"/>
    </format>
    <format dxfId="9">
      <pivotArea outline="0" collapsedLevelsAreSubtotals="1" fieldPosition="0"/>
    </format>
    <format dxfId="10">
      <pivotArea field="2" type="button" dataOnly="0" labelOnly="1" outline="0" axis="axisRow" fieldPosition="0"/>
    </format>
    <format dxfId="11">
      <pivotArea dataOnly="0" labelOnly="1" fieldPosition="0">
        <references count="1">
          <reference field="2" count="0"/>
        </references>
      </pivotArea>
    </format>
    <format dxfId="12">
      <pivotArea dataOnly="0" labelOnly="1" grandRow="1" outline="0" fieldPosition="0"/>
    </format>
    <format dxfId="13">
      <pivotArea dataOnly="0" labelOnly="1" outline="0" axis="axisValues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2" type="button" dataOnly="0" labelOnly="1" outline="0" axis="axisRow" fieldPosition="0"/>
    </format>
    <format dxfId="17">
      <pivotArea dataOnly="0" labelOnly="1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  <format dxfId="20">
      <pivotArea dataOnly="0" labelOnly="1" fieldPosition="0">
        <references count="1">
          <reference field="2" count="0"/>
        </references>
      </pivotArea>
    </format>
    <format dxfId="21">
      <pivotArea dataOnly="0" labelOnly="1" fieldPosition="0">
        <references count="1">
          <reference field="2" count="0"/>
        </references>
      </pivotArea>
    </format>
    <format dxfId="22">
      <pivotArea collapsedLevelsAreSubtotals="1" fieldPosition="0">
        <references count="1">
          <reference field="2" count="0"/>
        </references>
      </pivotArea>
    </format>
    <format dxfId="23">
      <pivotArea collapsedLevelsAreSubtotals="1" fieldPosition="0">
        <references count="1">
          <reference field="2" count="0"/>
        </references>
      </pivotArea>
    </format>
    <format dxfId="24">
      <pivotArea dataOnly="0" labelOnly="1" fieldPosition="0">
        <references count="1">
          <reference field="2" count="0"/>
        </references>
      </pivotArea>
    </format>
    <format dxfId="25">
      <pivotArea outline="0" collapsedLevelsAreSubtotals="1" fieldPosition="0"/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4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Pagamento" xr10:uid="{C0D4F8F6-F232-4964-B84B-361FA4A5E68C}" sourceName="Tipo Pagamento">
  <pivotTables>
    <pivotTable tabId="3" name="tbl_valorestotais_sccp"/>
  </pivotTables>
  <data>
    <tabular pivotCacheId="205207375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" xr10:uid="{520B2F44-3F15-40B2-95C8-329BFC8A2326}" sourceName="Status">
  <pivotTables>
    <pivotTable tabId="3" name="tbl_valorestotais_sccp"/>
  </pivotTables>
  <data>
    <tabular pivotCacheId="2052073752">
      <items count="2">
        <i x="0" s="1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Pagamento" xr10:uid="{FD6E5159-EA54-4C66-B535-8DFB564F8920}" cache="SegmentaçãodeDados_Tipo_Pagamento" caption="Tipo Pagamento" style="Estilo de Segmentação de Dados 1" rowHeight="241300"/>
  <slicer name="Status" xr10:uid="{DB290E34-DD9B-43AF-87C6-1F39B47028B4}" cache="SegmentaçãodeDados_Status" caption="Status" style="Estilo de Segmentação de Dados 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C14"/>
  <sheetViews>
    <sheetView zoomScaleNormal="100" workbookViewId="0">
      <selection activeCell="C28" sqref="C28"/>
    </sheetView>
  </sheetViews>
  <sheetFormatPr defaultColWidth="8.7109375" defaultRowHeight="15" x14ac:dyDescent="0.25"/>
  <cols>
    <col min="1" max="1" width="22" customWidth="1"/>
    <col min="2" max="3" width="16" customWidth="1"/>
  </cols>
  <sheetData>
    <row r="1" spans="1:3" x14ac:dyDescent="0.25">
      <c r="A1" s="15" t="s">
        <v>225</v>
      </c>
    </row>
    <row r="2" spans="1:3" x14ac:dyDescent="0.25">
      <c r="A2" s="16" t="s">
        <v>226</v>
      </c>
      <c r="B2" s="26" t="s">
        <v>243</v>
      </c>
    </row>
    <row r="3" spans="1:3" x14ac:dyDescent="0.25">
      <c r="A3" s="16" t="s">
        <v>227</v>
      </c>
      <c r="B3" s="32" t="s">
        <v>250</v>
      </c>
    </row>
    <row r="4" spans="1:3" x14ac:dyDescent="0.25">
      <c r="A4" s="14" t="s">
        <v>253</v>
      </c>
      <c r="B4" s="36" t="s">
        <v>252</v>
      </c>
    </row>
    <row r="5" spans="1:3" x14ac:dyDescent="0.25">
      <c r="A5" s="16" t="s">
        <v>228</v>
      </c>
      <c r="B5" s="14" t="s">
        <v>229</v>
      </c>
    </row>
    <row r="7" spans="1:3" x14ac:dyDescent="0.25">
      <c r="A7" s="15" t="s">
        <v>230</v>
      </c>
      <c r="B7" s="14" t="s">
        <v>231</v>
      </c>
      <c r="C7" s="14" t="s">
        <v>232</v>
      </c>
    </row>
    <row r="8" spans="1:3" x14ac:dyDescent="0.25">
      <c r="A8" s="16" t="s">
        <v>28</v>
      </c>
      <c r="B8" s="14" t="s">
        <v>233</v>
      </c>
      <c r="C8" s="14" t="s">
        <v>234</v>
      </c>
    </row>
    <row r="9" spans="1:3" x14ac:dyDescent="0.25">
      <c r="A9" s="16" t="s">
        <v>11</v>
      </c>
      <c r="B9" s="14" t="s">
        <v>235</v>
      </c>
      <c r="C9" s="14" t="s">
        <v>236</v>
      </c>
    </row>
    <row r="10" spans="1:3" x14ac:dyDescent="0.25">
      <c r="A10" s="16" t="s">
        <v>20</v>
      </c>
      <c r="B10" s="14" t="s">
        <v>237</v>
      </c>
      <c r="C10" s="14" t="s">
        <v>238</v>
      </c>
    </row>
    <row r="11" spans="1:3" x14ac:dyDescent="0.25">
      <c r="A11" s="16" t="s">
        <v>38</v>
      </c>
      <c r="B11" s="14" t="s">
        <v>239</v>
      </c>
      <c r="C11" s="14" t="s">
        <v>240</v>
      </c>
    </row>
    <row r="12" spans="1:3" x14ac:dyDescent="0.25">
      <c r="A12" s="16" t="s">
        <v>62</v>
      </c>
      <c r="B12" s="14" t="s">
        <v>241</v>
      </c>
      <c r="C12" s="14" t="s">
        <v>242</v>
      </c>
    </row>
    <row r="14" spans="1:3" x14ac:dyDescent="0.25">
      <c r="A14" s="35" t="s">
        <v>251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1A1A"/>
  </sheetPr>
  <dimension ref="A1:J201"/>
  <sheetViews>
    <sheetView zoomScaleNormal="100" workbookViewId="0">
      <pane ySplit="1" topLeftCell="A167" activePane="bottomLeft" state="frozen"/>
      <selection activeCell="C28" sqref="C28"/>
      <selection pane="bottomLeft" activeCell="C28" sqref="C28"/>
    </sheetView>
  </sheetViews>
  <sheetFormatPr defaultColWidth="8.7109375" defaultRowHeight="15" x14ac:dyDescent="0.25"/>
  <cols>
    <col min="1" max="1" width="11" customWidth="1"/>
    <col min="2" max="2" width="24" customWidth="1"/>
    <col min="3" max="3" width="18" customWidth="1"/>
    <col min="4" max="4" width="14" customWidth="1"/>
    <col min="5" max="5" width="12" customWidth="1"/>
    <col min="6" max="6" width="9" customWidth="1"/>
    <col min="7" max="7" width="22" customWidth="1"/>
    <col min="8" max="8" width="17" customWidth="1"/>
    <col min="9" max="9" width="24" customWidth="1"/>
    <col min="10" max="10" width="10" customWidth="1"/>
  </cols>
  <sheetData>
    <row r="1" spans="1:10" ht="27.75" customHeight="1" x14ac:dyDescent="0.2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</row>
    <row r="2" spans="1:10" x14ac:dyDescent="0.25">
      <c r="A2" s="1">
        <v>1001</v>
      </c>
      <c r="B2" s="2" t="s">
        <v>10</v>
      </c>
      <c r="C2" s="1" t="s">
        <v>11</v>
      </c>
      <c r="D2" s="3">
        <v>45417</v>
      </c>
      <c r="E2" s="1" t="s">
        <v>12</v>
      </c>
      <c r="F2" s="1" t="s">
        <v>13</v>
      </c>
      <c r="G2" s="1" t="s">
        <v>14</v>
      </c>
      <c r="H2" s="1" t="s">
        <v>15</v>
      </c>
      <c r="I2" s="4">
        <v>24.5</v>
      </c>
      <c r="J2" s="5" t="s">
        <v>16</v>
      </c>
    </row>
    <row r="3" spans="1:10" x14ac:dyDescent="0.25">
      <c r="A3" s="6">
        <v>1002</v>
      </c>
      <c r="B3" s="7" t="s">
        <v>17</v>
      </c>
      <c r="C3" s="6" t="s">
        <v>11</v>
      </c>
      <c r="D3" s="8">
        <v>45339</v>
      </c>
      <c r="E3" s="6" t="s">
        <v>18</v>
      </c>
      <c r="F3" s="6" t="s">
        <v>13</v>
      </c>
      <c r="G3" s="6" t="s">
        <v>14</v>
      </c>
      <c r="H3" s="6" t="s">
        <v>15</v>
      </c>
      <c r="I3" s="9">
        <v>24.5</v>
      </c>
      <c r="J3" s="10" t="s">
        <v>16</v>
      </c>
    </row>
    <row r="4" spans="1:10" x14ac:dyDescent="0.25">
      <c r="A4" s="1">
        <v>1003</v>
      </c>
      <c r="B4" s="2" t="s">
        <v>19</v>
      </c>
      <c r="C4" s="1" t="s">
        <v>20</v>
      </c>
      <c r="D4" s="3">
        <v>45506</v>
      </c>
      <c r="E4" s="1" t="s">
        <v>21</v>
      </c>
      <c r="F4" s="1" t="s">
        <v>13</v>
      </c>
      <c r="G4" s="1" t="s">
        <v>14</v>
      </c>
      <c r="H4" s="1" t="s">
        <v>15</v>
      </c>
      <c r="I4" s="4">
        <v>60</v>
      </c>
      <c r="J4" s="5" t="s">
        <v>16</v>
      </c>
    </row>
    <row r="5" spans="1:10" x14ac:dyDescent="0.25">
      <c r="A5" s="6">
        <v>1004</v>
      </c>
      <c r="B5" s="7" t="s">
        <v>22</v>
      </c>
      <c r="C5" s="6" t="s">
        <v>20</v>
      </c>
      <c r="D5" s="8">
        <v>45466</v>
      </c>
      <c r="E5" s="6" t="s">
        <v>23</v>
      </c>
      <c r="F5" s="6" t="s">
        <v>24</v>
      </c>
      <c r="G5" s="6" t="s">
        <v>14</v>
      </c>
      <c r="H5" s="6" t="s">
        <v>25</v>
      </c>
      <c r="I5" s="9">
        <v>55</v>
      </c>
      <c r="J5" s="11" t="s">
        <v>26</v>
      </c>
    </row>
    <row r="6" spans="1:10" x14ac:dyDescent="0.25">
      <c r="A6" s="1">
        <v>1005</v>
      </c>
      <c r="B6" s="2" t="s">
        <v>27</v>
      </c>
      <c r="C6" s="1" t="s">
        <v>28</v>
      </c>
      <c r="D6" s="3">
        <v>45475</v>
      </c>
      <c r="E6" s="1" t="s">
        <v>29</v>
      </c>
      <c r="F6" s="1" t="s">
        <v>30</v>
      </c>
      <c r="G6" s="1" t="s">
        <v>14</v>
      </c>
      <c r="H6" s="1" t="s">
        <v>15</v>
      </c>
      <c r="I6" s="4">
        <v>14.9</v>
      </c>
      <c r="J6" s="5" t="s">
        <v>16</v>
      </c>
    </row>
    <row r="7" spans="1:10" x14ac:dyDescent="0.25">
      <c r="A7" s="6">
        <v>1006</v>
      </c>
      <c r="B7" s="7" t="s">
        <v>31</v>
      </c>
      <c r="C7" s="6" t="s">
        <v>11</v>
      </c>
      <c r="D7" s="8">
        <v>45574</v>
      </c>
      <c r="E7" s="6" t="s">
        <v>32</v>
      </c>
      <c r="F7" s="6" t="s">
        <v>24</v>
      </c>
      <c r="G7" s="6" t="s">
        <v>33</v>
      </c>
      <c r="H7" s="6" t="s">
        <v>25</v>
      </c>
      <c r="I7" s="9">
        <v>20.83</v>
      </c>
      <c r="J7" s="10" t="s">
        <v>16</v>
      </c>
    </row>
    <row r="8" spans="1:10" x14ac:dyDescent="0.25">
      <c r="A8" s="1">
        <v>1007</v>
      </c>
      <c r="B8" s="2" t="s">
        <v>34</v>
      </c>
      <c r="C8" s="1" t="s">
        <v>11</v>
      </c>
      <c r="D8" s="3">
        <v>45315</v>
      </c>
      <c r="E8" s="1" t="s">
        <v>35</v>
      </c>
      <c r="F8" s="1" t="s">
        <v>36</v>
      </c>
      <c r="G8" s="1" t="s">
        <v>14</v>
      </c>
      <c r="H8" s="1" t="s">
        <v>15</v>
      </c>
      <c r="I8" s="4">
        <v>24.5</v>
      </c>
      <c r="J8" s="5" t="s">
        <v>16</v>
      </c>
    </row>
    <row r="9" spans="1:10" x14ac:dyDescent="0.25">
      <c r="A9" s="6">
        <v>1008</v>
      </c>
      <c r="B9" s="7" t="s">
        <v>37</v>
      </c>
      <c r="C9" s="6" t="s">
        <v>38</v>
      </c>
      <c r="D9" s="8">
        <v>45434</v>
      </c>
      <c r="E9" s="6" t="s">
        <v>12</v>
      </c>
      <c r="F9" s="6" t="s">
        <v>39</v>
      </c>
      <c r="G9" s="6" t="s">
        <v>14</v>
      </c>
      <c r="H9" s="6" t="s">
        <v>25</v>
      </c>
      <c r="I9" s="9">
        <v>300</v>
      </c>
      <c r="J9" s="10" t="s">
        <v>16</v>
      </c>
    </row>
    <row r="10" spans="1:10" x14ac:dyDescent="0.25">
      <c r="A10" s="1">
        <v>1009</v>
      </c>
      <c r="B10" s="2" t="s">
        <v>40</v>
      </c>
      <c r="C10" s="1" t="s">
        <v>28</v>
      </c>
      <c r="D10" s="3">
        <v>45651</v>
      </c>
      <c r="E10" s="1" t="s">
        <v>41</v>
      </c>
      <c r="F10" s="1" t="s">
        <v>36</v>
      </c>
      <c r="G10" s="1" t="s">
        <v>14</v>
      </c>
      <c r="H10" s="1" t="s">
        <v>15</v>
      </c>
      <c r="I10" s="4">
        <v>14.9</v>
      </c>
      <c r="J10" s="5" t="s">
        <v>16</v>
      </c>
    </row>
    <row r="11" spans="1:10" x14ac:dyDescent="0.25">
      <c r="A11" s="6">
        <v>1010</v>
      </c>
      <c r="B11" s="7" t="s">
        <v>42</v>
      </c>
      <c r="C11" s="6" t="s">
        <v>11</v>
      </c>
      <c r="D11" s="8">
        <v>45528</v>
      </c>
      <c r="E11" s="6" t="s">
        <v>21</v>
      </c>
      <c r="F11" s="6" t="s">
        <v>30</v>
      </c>
      <c r="G11" s="6" t="s">
        <v>14</v>
      </c>
      <c r="H11" s="6" t="s">
        <v>15</v>
      </c>
      <c r="I11" s="9">
        <v>24.5</v>
      </c>
      <c r="J11" s="11" t="s">
        <v>26</v>
      </c>
    </row>
    <row r="12" spans="1:10" x14ac:dyDescent="0.25">
      <c r="A12" s="1">
        <v>1011</v>
      </c>
      <c r="B12" s="2" t="s">
        <v>43</v>
      </c>
      <c r="C12" s="1" t="s">
        <v>20</v>
      </c>
      <c r="D12" s="3">
        <v>45409</v>
      </c>
      <c r="E12" s="1" t="s">
        <v>44</v>
      </c>
      <c r="F12" s="1" t="s">
        <v>13</v>
      </c>
      <c r="G12" s="1" t="s">
        <v>33</v>
      </c>
      <c r="H12" s="1" t="s">
        <v>15</v>
      </c>
      <c r="I12" s="4">
        <v>60</v>
      </c>
      <c r="J12" s="5" t="s">
        <v>16</v>
      </c>
    </row>
    <row r="13" spans="1:10" x14ac:dyDescent="0.25">
      <c r="A13" s="6">
        <v>1012</v>
      </c>
      <c r="B13" s="7" t="s">
        <v>45</v>
      </c>
      <c r="C13" s="6" t="s">
        <v>28</v>
      </c>
      <c r="D13" s="8">
        <v>45400</v>
      </c>
      <c r="E13" s="6" t="s">
        <v>44</v>
      </c>
      <c r="F13" s="6" t="s">
        <v>46</v>
      </c>
      <c r="G13" s="6" t="s">
        <v>14</v>
      </c>
      <c r="H13" s="6" t="s">
        <v>15</v>
      </c>
      <c r="I13" s="9">
        <v>14.9</v>
      </c>
      <c r="J13" s="11" t="s">
        <v>26</v>
      </c>
    </row>
    <row r="14" spans="1:10" x14ac:dyDescent="0.25">
      <c r="A14" s="1">
        <v>1013</v>
      </c>
      <c r="B14" s="2" t="s">
        <v>47</v>
      </c>
      <c r="C14" s="1" t="s">
        <v>28</v>
      </c>
      <c r="D14" s="3">
        <v>45673</v>
      </c>
      <c r="E14" s="1" t="s">
        <v>48</v>
      </c>
      <c r="F14" s="1" t="s">
        <v>49</v>
      </c>
      <c r="G14" s="1" t="s">
        <v>14</v>
      </c>
      <c r="H14" s="1" t="s">
        <v>15</v>
      </c>
      <c r="I14" s="4">
        <v>14.9</v>
      </c>
      <c r="J14" s="5" t="s">
        <v>16</v>
      </c>
    </row>
    <row r="15" spans="1:10" x14ac:dyDescent="0.25">
      <c r="A15" s="6">
        <v>1014</v>
      </c>
      <c r="B15" s="7" t="s">
        <v>50</v>
      </c>
      <c r="C15" s="6" t="s">
        <v>38</v>
      </c>
      <c r="D15" s="8">
        <v>45404</v>
      </c>
      <c r="E15" s="6" t="s">
        <v>44</v>
      </c>
      <c r="F15" s="6" t="s">
        <v>13</v>
      </c>
      <c r="G15" s="6" t="s">
        <v>14</v>
      </c>
      <c r="H15" s="6" t="s">
        <v>25</v>
      </c>
      <c r="I15" s="9">
        <v>300</v>
      </c>
      <c r="J15" s="10" t="s">
        <v>16</v>
      </c>
    </row>
    <row r="16" spans="1:10" x14ac:dyDescent="0.25">
      <c r="A16" s="1">
        <v>1015</v>
      </c>
      <c r="B16" s="2" t="s">
        <v>51</v>
      </c>
      <c r="C16" s="1" t="s">
        <v>38</v>
      </c>
      <c r="D16" s="3">
        <v>45697</v>
      </c>
      <c r="E16" s="1" t="s">
        <v>52</v>
      </c>
      <c r="F16" s="1" t="s">
        <v>36</v>
      </c>
      <c r="G16" s="1" t="s">
        <v>14</v>
      </c>
      <c r="H16" s="1" t="s">
        <v>25</v>
      </c>
      <c r="I16" s="4">
        <v>300</v>
      </c>
      <c r="J16" s="5" t="s">
        <v>16</v>
      </c>
    </row>
    <row r="17" spans="1:10" x14ac:dyDescent="0.25">
      <c r="A17" s="6">
        <v>1016</v>
      </c>
      <c r="B17" s="7" t="s">
        <v>53</v>
      </c>
      <c r="C17" s="6" t="s">
        <v>11</v>
      </c>
      <c r="D17" s="8">
        <v>45420</v>
      </c>
      <c r="E17" s="6" t="s">
        <v>12</v>
      </c>
      <c r="F17" s="6" t="s">
        <v>49</v>
      </c>
      <c r="G17" s="6" t="s">
        <v>33</v>
      </c>
      <c r="H17" s="6" t="s">
        <v>15</v>
      </c>
      <c r="I17" s="9">
        <v>24.5</v>
      </c>
      <c r="J17" s="10" t="s">
        <v>16</v>
      </c>
    </row>
    <row r="18" spans="1:10" x14ac:dyDescent="0.25">
      <c r="A18" s="1">
        <v>1017</v>
      </c>
      <c r="B18" s="2" t="s">
        <v>54</v>
      </c>
      <c r="C18" s="1" t="s">
        <v>20</v>
      </c>
      <c r="D18" s="3">
        <v>45685</v>
      </c>
      <c r="E18" s="1" t="s">
        <v>48</v>
      </c>
      <c r="F18" s="1" t="s">
        <v>46</v>
      </c>
      <c r="G18" s="1" t="s">
        <v>14</v>
      </c>
      <c r="H18" s="1" t="s">
        <v>15</v>
      </c>
      <c r="I18" s="4">
        <v>60</v>
      </c>
      <c r="J18" s="5" t="s">
        <v>16</v>
      </c>
    </row>
    <row r="19" spans="1:10" x14ac:dyDescent="0.25">
      <c r="A19" s="6">
        <v>1018</v>
      </c>
      <c r="B19" s="7" t="s">
        <v>55</v>
      </c>
      <c r="C19" s="6" t="s">
        <v>11</v>
      </c>
      <c r="D19" s="8">
        <v>45548</v>
      </c>
      <c r="E19" s="6" t="s">
        <v>56</v>
      </c>
      <c r="F19" s="6" t="s">
        <v>13</v>
      </c>
      <c r="G19" s="6" t="s">
        <v>14</v>
      </c>
      <c r="H19" s="6" t="s">
        <v>25</v>
      </c>
      <c r="I19" s="9">
        <v>20.83</v>
      </c>
      <c r="J19" s="10" t="s">
        <v>16</v>
      </c>
    </row>
    <row r="20" spans="1:10" x14ac:dyDescent="0.25">
      <c r="A20" s="1">
        <v>1019</v>
      </c>
      <c r="B20" s="2" t="s">
        <v>57</v>
      </c>
      <c r="C20" s="1" t="s">
        <v>38</v>
      </c>
      <c r="D20" s="3">
        <v>45393</v>
      </c>
      <c r="E20" s="1" t="s">
        <v>44</v>
      </c>
      <c r="F20" s="1" t="s">
        <v>13</v>
      </c>
      <c r="G20" s="1" t="s">
        <v>14</v>
      </c>
      <c r="H20" s="1" t="s">
        <v>25</v>
      </c>
      <c r="I20" s="4">
        <v>300</v>
      </c>
      <c r="J20" s="5" t="s">
        <v>16</v>
      </c>
    </row>
    <row r="21" spans="1:10" x14ac:dyDescent="0.25">
      <c r="A21" s="6">
        <v>1020</v>
      </c>
      <c r="B21" s="7" t="s">
        <v>58</v>
      </c>
      <c r="C21" s="6" t="s">
        <v>11</v>
      </c>
      <c r="D21" s="8">
        <v>45349</v>
      </c>
      <c r="E21" s="6" t="s">
        <v>18</v>
      </c>
      <c r="F21" s="6" t="s">
        <v>30</v>
      </c>
      <c r="G21" s="6" t="s">
        <v>33</v>
      </c>
      <c r="H21" s="6" t="s">
        <v>25</v>
      </c>
      <c r="I21" s="9">
        <v>20.83</v>
      </c>
      <c r="J21" s="10" t="s">
        <v>16</v>
      </c>
    </row>
    <row r="22" spans="1:10" x14ac:dyDescent="0.25">
      <c r="A22" s="1">
        <v>1021</v>
      </c>
      <c r="B22" s="2" t="s">
        <v>59</v>
      </c>
      <c r="C22" s="1" t="s">
        <v>28</v>
      </c>
      <c r="D22" s="3">
        <v>45776</v>
      </c>
      <c r="E22" s="1" t="s">
        <v>60</v>
      </c>
      <c r="F22" s="1" t="s">
        <v>13</v>
      </c>
      <c r="G22" s="1" t="s">
        <v>14</v>
      </c>
      <c r="H22" s="1" t="s">
        <v>15</v>
      </c>
      <c r="I22" s="4">
        <v>14.9</v>
      </c>
      <c r="J22" s="5" t="s">
        <v>16</v>
      </c>
    </row>
    <row r="23" spans="1:10" x14ac:dyDescent="0.25">
      <c r="A23" s="6">
        <v>1022</v>
      </c>
      <c r="B23" s="7" t="s">
        <v>61</v>
      </c>
      <c r="C23" s="6" t="s">
        <v>62</v>
      </c>
      <c r="D23" s="8">
        <v>45357</v>
      </c>
      <c r="E23" s="6" t="s">
        <v>63</v>
      </c>
      <c r="F23" s="6" t="s">
        <v>36</v>
      </c>
      <c r="G23" s="6" t="s">
        <v>14</v>
      </c>
      <c r="H23" s="6" t="s">
        <v>25</v>
      </c>
      <c r="I23" s="9">
        <v>700</v>
      </c>
      <c r="J23" s="10" t="s">
        <v>16</v>
      </c>
    </row>
    <row r="24" spans="1:10" x14ac:dyDescent="0.25">
      <c r="A24" s="1">
        <v>1023</v>
      </c>
      <c r="B24" s="2" t="s">
        <v>64</v>
      </c>
      <c r="C24" s="1" t="s">
        <v>11</v>
      </c>
      <c r="D24" s="3">
        <v>45400</v>
      </c>
      <c r="E24" s="1" t="s">
        <v>44</v>
      </c>
      <c r="F24" s="1" t="s">
        <v>49</v>
      </c>
      <c r="G24" s="1" t="s">
        <v>14</v>
      </c>
      <c r="H24" s="1" t="s">
        <v>25</v>
      </c>
      <c r="I24" s="4">
        <v>20.83</v>
      </c>
      <c r="J24" s="5" t="s">
        <v>16</v>
      </c>
    </row>
    <row r="25" spans="1:10" x14ac:dyDescent="0.25">
      <c r="A25" s="6">
        <v>1024</v>
      </c>
      <c r="B25" s="7" t="s">
        <v>65</v>
      </c>
      <c r="C25" s="6" t="s">
        <v>11</v>
      </c>
      <c r="D25" s="8">
        <v>45516</v>
      </c>
      <c r="E25" s="6" t="s">
        <v>21</v>
      </c>
      <c r="F25" s="6" t="s">
        <v>66</v>
      </c>
      <c r="G25" s="6" t="s">
        <v>14</v>
      </c>
      <c r="H25" s="6" t="s">
        <v>15</v>
      </c>
      <c r="I25" s="9">
        <v>24.5</v>
      </c>
      <c r="J25" s="10" t="s">
        <v>16</v>
      </c>
    </row>
    <row r="26" spans="1:10" x14ac:dyDescent="0.25">
      <c r="A26" s="1">
        <v>1025</v>
      </c>
      <c r="B26" s="2" t="s">
        <v>67</v>
      </c>
      <c r="C26" s="1" t="s">
        <v>28</v>
      </c>
      <c r="D26" s="3">
        <v>45409</v>
      </c>
      <c r="E26" s="1" t="s">
        <v>44</v>
      </c>
      <c r="F26" s="1" t="s">
        <v>68</v>
      </c>
      <c r="G26" s="1" t="s">
        <v>14</v>
      </c>
      <c r="H26" s="1" t="s">
        <v>15</v>
      </c>
      <c r="I26" s="4">
        <v>14.9</v>
      </c>
      <c r="J26" s="5" t="s">
        <v>16</v>
      </c>
    </row>
    <row r="27" spans="1:10" x14ac:dyDescent="0.25">
      <c r="A27" s="6">
        <v>1026</v>
      </c>
      <c r="B27" s="7" t="s">
        <v>69</v>
      </c>
      <c r="C27" s="6" t="s">
        <v>28</v>
      </c>
      <c r="D27" s="8">
        <v>45328</v>
      </c>
      <c r="E27" s="6" t="s">
        <v>18</v>
      </c>
      <c r="F27" s="6" t="s">
        <v>66</v>
      </c>
      <c r="G27" s="6" t="s">
        <v>14</v>
      </c>
      <c r="H27" s="6" t="s">
        <v>15</v>
      </c>
      <c r="I27" s="9">
        <v>14.9</v>
      </c>
      <c r="J27" s="10" t="s">
        <v>16</v>
      </c>
    </row>
    <row r="28" spans="1:10" x14ac:dyDescent="0.25">
      <c r="A28" s="1">
        <v>1027</v>
      </c>
      <c r="B28" s="2" t="s">
        <v>70</v>
      </c>
      <c r="C28" s="1" t="s">
        <v>11</v>
      </c>
      <c r="D28" s="3">
        <v>45587</v>
      </c>
      <c r="E28" s="1" t="s">
        <v>32</v>
      </c>
      <c r="F28" s="1" t="s">
        <v>71</v>
      </c>
      <c r="G28" s="1" t="s">
        <v>14</v>
      </c>
      <c r="H28" s="1" t="s">
        <v>25</v>
      </c>
      <c r="I28" s="4">
        <v>20.83</v>
      </c>
      <c r="J28" s="5" t="s">
        <v>16</v>
      </c>
    </row>
    <row r="29" spans="1:10" x14ac:dyDescent="0.25">
      <c r="A29" s="6">
        <v>1028</v>
      </c>
      <c r="B29" s="7" t="s">
        <v>72</v>
      </c>
      <c r="C29" s="6" t="s">
        <v>28</v>
      </c>
      <c r="D29" s="8">
        <v>45473</v>
      </c>
      <c r="E29" s="6" t="s">
        <v>23</v>
      </c>
      <c r="F29" s="6" t="s">
        <v>30</v>
      </c>
      <c r="G29" s="6" t="s">
        <v>14</v>
      </c>
      <c r="H29" s="6" t="s">
        <v>15</v>
      </c>
      <c r="I29" s="9">
        <v>14.9</v>
      </c>
      <c r="J29" s="10" t="s">
        <v>16</v>
      </c>
    </row>
    <row r="30" spans="1:10" x14ac:dyDescent="0.25">
      <c r="A30" s="1">
        <v>1029</v>
      </c>
      <c r="B30" s="2" t="s">
        <v>73</v>
      </c>
      <c r="C30" s="1" t="s">
        <v>20</v>
      </c>
      <c r="D30" s="3">
        <v>45323</v>
      </c>
      <c r="E30" s="1" t="s">
        <v>18</v>
      </c>
      <c r="F30" s="1" t="s">
        <v>30</v>
      </c>
      <c r="G30" s="1" t="s">
        <v>14</v>
      </c>
      <c r="H30" s="1" t="s">
        <v>15</v>
      </c>
      <c r="I30" s="4">
        <v>60</v>
      </c>
      <c r="J30" s="5" t="s">
        <v>16</v>
      </c>
    </row>
    <row r="31" spans="1:10" x14ac:dyDescent="0.25">
      <c r="A31" s="6">
        <v>1030</v>
      </c>
      <c r="B31" s="7" t="s">
        <v>74</v>
      </c>
      <c r="C31" s="6" t="s">
        <v>28</v>
      </c>
      <c r="D31" s="8">
        <v>45521</v>
      </c>
      <c r="E31" s="6" t="s">
        <v>21</v>
      </c>
      <c r="F31" s="6" t="s">
        <v>13</v>
      </c>
      <c r="G31" s="6" t="s">
        <v>14</v>
      </c>
      <c r="H31" s="6" t="s">
        <v>15</v>
      </c>
      <c r="I31" s="9">
        <v>14.9</v>
      </c>
      <c r="J31" s="10" t="s">
        <v>16</v>
      </c>
    </row>
    <row r="32" spans="1:10" x14ac:dyDescent="0.25">
      <c r="A32" s="1">
        <v>1031</v>
      </c>
      <c r="B32" s="2" t="s">
        <v>75</v>
      </c>
      <c r="C32" s="1" t="s">
        <v>38</v>
      </c>
      <c r="D32" s="3">
        <v>45705</v>
      </c>
      <c r="E32" s="1" t="s">
        <v>52</v>
      </c>
      <c r="F32" s="1" t="s">
        <v>49</v>
      </c>
      <c r="G32" s="1" t="s">
        <v>14</v>
      </c>
      <c r="H32" s="1" t="s">
        <v>25</v>
      </c>
      <c r="I32" s="4">
        <v>300</v>
      </c>
      <c r="J32" s="5" t="s">
        <v>16</v>
      </c>
    </row>
    <row r="33" spans="1:10" x14ac:dyDescent="0.25">
      <c r="A33" s="6">
        <v>1032</v>
      </c>
      <c r="B33" s="7" t="s">
        <v>76</v>
      </c>
      <c r="C33" s="6" t="s">
        <v>62</v>
      </c>
      <c r="D33" s="8">
        <v>45377</v>
      </c>
      <c r="E33" s="6" t="s">
        <v>63</v>
      </c>
      <c r="F33" s="6" t="s">
        <v>30</v>
      </c>
      <c r="G33" s="6" t="s">
        <v>14</v>
      </c>
      <c r="H33" s="6" t="s">
        <v>25</v>
      </c>
      <c r="I33" s="9">
        <v>700</v>
      </c>
      <c r="J33" s="10" t="s">
        <v>16</v>
      </c>
    </row>
    <row r="34" spans="1:10" x14ac:dyDescent="0.25">
      <c r="A34" s="1">
        <v>1033</v>
      </c>
      <c r="B34" s="2" t="s">
        <v>77</v>
      </c>
      <c r="C34" s="1" t="s">
        <v>38</v>
      </c>
      <c r="D34" s="3">
        <v>45293</v>
      </c>
      <c r="E34" s="1" t="s">
        <v>35</v>
      </c>
      <c r="F34" s="1" t="s">
        <v>30</v>
      </c>
      <c r="G34" s="1" t="s">
        <v>14</v>
      </c>
      <c r="H34" s="1" t="s">
        <v>25</v>
      </c>
      <c r="I34" s="4">
        <v>300</v>
      </c>
      <c r="J34" s="5" t="s">
        <v>16</v>
      </c>
    </row>
    <row r="35" spans="1:10" x14ac:dyDescent="0.25">
      <c r="A35" s="6">
        <v>1034</v>
      </c>
      <c r="B35" s="7" t="s">
        <v>19</v>
      </c>
      <c r="C35" s="6" t="s">
        <v>28</v>
      </c>
      <c r="D35" s="8">
        <v>45630</v>
      </c>
      <c r="E35" s="6" t="s">
        <v>41</v>
      </c>
      <c r="F35" s="6" t="s">
        <v>78</v>
      </c>
      <c r="G35" s="6" t="s">
        <v>14</v>
      </c>
      <c r="H35" s="6" t="s">
        <v>15</v>
      </c>
      <c r="I35" s="9">
        <v>14.9</v>
      </c>
      <c r="J35" s="10" t="s">
        <v>16</v>
      </c>
    </row>
    <row r="36" spans="1:10" x14ac:dyDescent="0.25">
      <c r="A36" s="1">
        <v>1035</v>
      </c>
      <c r="B36" s="2" t="s">
        <v>67</v>
      </c>
      <c r="C36" s="1" t="s">
        <v>62</v>
      </c>
      <c r="D36" s="3">
        <v>45323</v>
      </c>
      <c r="E36" s="1" t="s">
        <v>18</v>
      </c>
      <c r="F36" s="1" t="s">
        <v>24</v>
      </c>
      <c r="G36" s="1" t="s">
        <v>14</v>
      </c>
      <c r="H36" s="1" t="s">
        <v>25</v>
      </c>
      <c r="I36" s="4">
        <v>700</v>
      </c>
      <c r="J36" s="5" t="s">
        <v>16</v>
      </c>
    </row>
    <row r="37" spans="1:10" x14ac:dyDescent="0.25">
      <c r="A37" s="6">
        <v>1036</v>
      </c>
      <c r="B37" s="7" t="s">
        <v>79</v>
      </c>
      <c r="C37" s="6" t="s">
        <v>28</v>
      </c>
      <c r="D37" s="8">
        <v>45727</v>
      </c>
      <c r="E37" s="6" t="s">
        <v>80</v>
      </c>
      <c r="F37" s="6" t="s">
        <v>13</v>
      </c>
      <c r="G37" s="6" t="s">
        <v>14</v>
      </c>
      <c r="H37" s="6" t="s">
        <v>15</v>
      </c>
      <c r="I37" s="9">
        <v>14.9</v>
      </c>
      <c r="J37" s="10" t="s">
        <v>16</v>
      </c>
    </row>
    <row r="38" spans="1:10" x14ac:dyDescent="0.25">
      <c r="A38" s="1">
        <v>1037</v>
      </c>
      <c r="B38" s="2" t="s">
        <v>81</v>
      </c>
      <c r="C38" s="1" t="s">
        <v>11</v>
      </c>
      <c r="D38" s="3">
        <v>45588</v>
      </c>
      <c r="E38" s="1" t="s">
        <v>32</v>
      </c>
      <c r="F38" s="1" t="s">
        <v>82</v>
      </c>
      <c r="G38" s="1" t="s">
        <v>14</v>
      </c>
      <c r="H38" s="1" t="s">
        <v>25</v>
      </c>
      <c r="I38" s="4">
        <v>20.83</v>
      </c>
      <c r="J38" s="5" t="s">
        <v>16</v>
      </c>
    </row>
    <row r="39" spans="1:10" x14ac:dyDescent="0.25">
      <c r="A39" s="6">
        <v>1038</v>
      </c>
      <c r="B39" s="7" t="s">
        <v>83</v>
      </c>
      <c r="C39" s="6" t="s">
        <v>38</v>
      </c>
      <c r="D39" s="8">
        <v>45414</v>
      </c>
      <c r="E39" s="6" t="s">
        <v>12</v>
      </c>
      <c r="F39" s="6" t="s">
        <v>24</v>
      </c>
      <c r="G39" s="6" t="s">
        <v>14</v>
      </c>
      <c r="H39" s="6" t="s">
        <v>25</v>
      </c>
      <c r="I39" s="9">
        <v>300</v>
      </c>
      <c r="J39" s="10" t="s">
        <v>16</v>
      </c>
    </row>
    <row r="40" spans="1:10" x14ac:dyDescent="0.25">
      <c r="A40" s="1">
        <v>1039</v>
      </c>
      <c r="B40" s="2" t="s">
        <v>84</v>
      </c>
      <c r="C40" s="1" t="s">
        <v>11</v>
      </c>
      <c r="D40" s="3">
        <v>45296</v>
      </c>
      <c r="E40" s="1" t="s">
        <v>35</v>
      </c>
      <c r="F40" s="1" t="s">
        <v>39</v>
      </c>
      <c r="G40" s="1" t="s">
        <v>14</v>
      </c>
      <c r="H40" s="1" t="s">
        <v>15</v>
      </c>
      <c r="I40" s="4">
        <v>24.5</v>
      </c>
      <c r="J40" s="5" t="s">
        <v>16</v>
      </c>
    </row>
    <row r="41" spans="1:10" x14ac:dyDescent="0.25">
      <c r="A41" s="6">
        <v>1040</v>
      </c>
      <c r="B41" s="7" t="s">
        <v>85</v>
      </c>
      <c r="C41" s="6" t="s">
        <v>28</v>
      </c>
      <c r="D41" s="8">
        <v>45427</v>
      </c>
      <c r="E41" s="6" t="s">
        <v>12</v>
      </c>
      <c r="F41" s="6" t="s">
        <v>13</v>
      </c>
      <c r="G41" s="6" t="s">
        <v>33</v>
      </c>
      <c r="H41" s="6" t="s">
        <v>15</v>
      </c>
      <c r="I41" s="9">
        <v>14.9</v>
      </c>
      <c r="J41" s="11" t="s">
        <v>26</v>
      </c>
    </row>
    <row r="42" spans="1:10" x14ac:dyDescent="0.25">
      <c r="A42" s="1">
        <v>1041</v>
      </c>
      <c r="B42" s="2" t="s">
        <v>86</v>
      </c>
      <c r="C42" s="1" t="s">
        <v>28</v>
      </c>
      <c r="D42" s="3">
        <v>45718</v>
      </c>
      <c r="E42" s="1" t="s">
        <v>80</v>
      </c>
      <c r="F42" s="1" t="s">
        <v>49</v>
      </c>
      <c r="G42" s="1" t="s">
        <v>14</v>
      </c>
      <c r="H42" s="1" t="s">
        <v>15</v>
      </c>
      <c r="I42" s="4">
        <v>14.9</v>
      </c>
      <c r="J42" s="5" t="s">
        <v>16</v>
      </c>
    </row>
    <row r="43" spans="1:10" x14ac:dyDescent="0.25">
      <c r="A43" s="6">
        <v>1042</v>
      </c>
      <c r="B43" s="7" t="s">
        <v>87</v>
      </c>
      <c r="C43" s="6" t="s">
        <v>20</v>
      </c>
      <c r="D43" s="8">
        <v>45769</v>
      </c>
      <c r="E43" s="6" t="s">
        <v>60</v>
      </c>
      <c r="F43" s="6" t="s">
        <v>36</v>
      </c>
      <c r="G43" s="6" t="s">
        <v>14</v>
      </c>
      <c r="H43" s="6" t="s">
        <v>25</v>
      </c>
      <c r="I43" s="9">
        <v>55</v>
      </c>
      <c r="J43" s="11" t="s">
        <v>26</v>
      </c>
    </row>
    <row r="44" spans="1:10" x14ac:dyDescent="0.25">
      <c r="A44" s="1">
        <v>1043</v>
      </c>
      <c r="B44" s="2" t="s">
        <v>88</v>
      </c>
      <c r="C44" s="1" t="s">
        <v>28</v>
      </c>
      <c r="D44" s="3">
        <v>45371</v>
      </c>
      <c r="E44" s="1" t="s">
        <v>63</v>
      </c>
      <c r="F44" s="1" t="s">
        <v>24</v>
      </c>
      <c r="G44" s="1" t="s">
        <v>14</v>
      </c>
      <c r="H44" s="1" t="s">
        <v>15</v>
      </c>
      <c r="I44" s="4">
        <v>14.9</v>
      </c>
      <c r="J44" s="5" t="s">
        <v>16</v>
      </c>
    </row>
    <row r="45" spans="1:10" x14ac:dyDescent="0.25">
      <c r="A45" s="6">
        <v>1044</v>
      </c>
      <c r="B45" s="7" t="s">
        <v>89</v>
      </c>
      <c r="C45" s="6" t="s">
        <v>28</v>
      </c>
      <c r="D45" s="8">
        <v>45550</v>
      </c>
      <c r="E45" s="6" t="s">
        <v>56</v>
      </c>
      <c r="F45" s="6" t="s">
        <v>71</v>
      </c>
      <c r="G45" s="6" t="s">
        <v>14</v>
      </c>
      <c r="H45" s="6" t="s">
        <v>15</v>
      </c>
      <c r="I45" s="9">
        <v>14.9</v>
      </c>
      <c r="J45" s="11" t="s">
        <v>26</v>
      </c>
    </row>
    <row r="46" spans="1:10" x14ac:dyDescent="0.25">
      <c r="A46" s="1">
        <v>1045</v>
      </c>
      <c r="B46" s="2" t="s">
        <v>90</v>
      </c>
      <c r="C46" s="1" t="s">
        <v>28</v>
      </c>
      <c r="D46" s="3">
        <v>45314</v>
      </c>
      <c r="E46" s="1" t="s">
        <v>35</v>
      </c>
      <c r="F46" s="1" t="s">
        <v>13</v>
      </c>
      <c r="G46" s="1" t="s">
        <v>14</v>
      </c>
      <c r="H46" s="1" t="s">
        <v>15</v>
      </c>
      <c r="I46" s="4">
        <v>14.9</v>
      </c>
      <c r="J46" s="5" t="s">
        <v>16</v>
      </c>
    </row>
    <row r="47" spans="1:10" x14ac:dyDescent="0.25">
      <c r="A47" s="6">
        <v>1046</v>
      </c>
      <c r="B47" s="7" t="s">
        <v>91</v>
      </c>
      <c r="C47" s="6" t="s">
        <v>28</v>
      </c>
      <c r="D47" s="8">
        <v>45653</v>
      </c>
      <c r="E47" s="6" t="s">
        <v>41</v>
      </c>
      <c r="F47" s="6" t="s">
        <v>30</v>
      </c>
      <c r="G47" s="6" t="s">
        <v>14</v>
      </c>
      <c r="H47" s="6" t="s">
        <v>15</v>
      </c>
      <c r="I47" s="9">
        <v>14.9</v>
      </c>
      <c r="J47" s="10" t="s">
        <v>16</v>
      </c>
    </row>
    <row r="48" spans="1:10" x14ac:dyDescent="0.25">
      <c r="A48" s="1">
        <v>1047</v>
      </c>
      <c r="B48" s="2" t="s">
        <v>92</v>
      </c>
      <c r="C48" s="1" t="s">
        <v>11</v>
      </c>
      <c r="D48" s="3">
        <v>45574</v>
      </c>
      <c r="E48" s="1" t="s">
        <v>32</v>
      </c>
      <c r="F48" s="1" t="s">
        <v>13</v>
      </c>
      <c r="G48" s="1" t="s">
        <v>14</v>
      </c>
      <c r="H48" s="1" t="s">
        <v>25</v>
      </c>
      <c r="I48" s="4">
        <v>20.83</v>
      </c>
      <c r="J48" s="5" t="s">
        <v>16</v>
      </c>
    </row>
    <row r="49" spans="1:10" x14ac:dyDescent="0.25">
      <c r="A49" s="6">
        <v>1048</v>
      </c>
      <c r="B49" s="7" t="s">
        <v>93</v>
      </c>
      <c r="C49" s="6" t="s">
        <v>38</v>
      </c>
      <c r="D49" s="8">
        <v>45399</v>
      </c>
      <c r="E49" s="6" t="s">
        <v>44</v>
      </c>
      <c r="F49" s="6" t="s">
        <v>36</v>
      </c>
      <c r="G49" s="6" t="s">
        <v>14</v>
      </c>
      <c r="H49" s="6" t="s">
        <v>25</v>
      </c>
      <c r="I49" s="9">
        <v>300</v>
      </c>
      <c r="J49" s="10" t="s">
        <v>16</v>
      </c>
    </row>
    <row r="50" spans="1:10" x14ac:dyDescent="0.25">
      <c r="A50" s="1">
        <v>1049</v>
      </c>
      <c r="B50" s="2" t="s">
        <v>94</v>
      </c>
      <c r="C50" s="1" t="s">
        <v>62</v>
      </c>
      <c r="D50" s="3">
        <v>45765</v>
      </c>
      <c r="E50" s="1" t="s">
        <v>60</v>
      </c>
      <c r="F50" s="1" t="s">
        <v>13</v>
      </c>
      <c r="G50" s="1" t="s">
        <v>33</v>
      </c>
      <c r="H50" s="1" t="s">
        <v>25</v>
      </c>
      <c r="I50" s="4">
        <v>700</v>
      </c>
      <c r="J50" s="12" t="s">
        <v>26</v>
      </c>
    </row>
    <row r="51" spans="1:10" x14ac:dyDescent="0.25">
      <c r="A51" s="6">
        <v>1050</v>
      </c>
      <c r="B51" s="7" t="s">
        <v>95</v>
      </c>
      <c r="C51" s="6" t="s">
        <v>38</v>
      </c>
      <c r="D51" s="8">
        <v>45669</v>
      </c>
      <c r="E51" s="6" t="s">
        <v>48</v>
      </c>
      <c r="F51" s="6" t="s">
        <v>24</v>
      </c>
      <c r="G51" s="6" t="s">
        <v>33</v>
      </c>
      <c r="H51" s="6" t="s">
        <v>25</v>
      </c>
      <c r="I51" s="9">
        <v>300</v>
      </c>
      <c r="J51" s="10" t="s">
        <v>16</v>
      </c>
    </row>
    <row r="52" spans="1:10" x14ac:dyDescent="0.25">
      <c r="A52" s="1">
        <v>1051</v>
      </c>
      <c r="B52" s="2" t="s">
        <v>96</v>
      </c>
      <c r="C52" s="1" t="s">
        <v>28</v>
      </c>
      <c r="D52" s="3">
        <v>45487</v>
      </c>
      <c r="E52" s="1" t="s">
        <v>29</v>
      </c>
      <c r="F52" s="1" t="s">
        <v>13</v>
      </c>
      <c r="G52" s="1" t="s">
        <v>33</v>
      </c>
      <c r="H52" s="1" t="s">
        <v>15</v>
      </c>
      <c r="I52" s="4">
        <v>14.9</v>
      </c>
      <c r="J52" s="5" t="s">
        <v>16</v>
      </c>
    </row>
    <row r="53" spans="1:10" x14ac:dyDescent="0.25">
      <c r="A53" s="6">
        <v>1052</v>
      </c>
      <c r="B53" s="7" t="s">
        <v>97</v>
      </c>
      <c r="C53" s="6" t="s">
        <v>28</v>
      </c>
      <c r="D53" s="8">
        <v>45304</v>
      </c>
      <c r="E53" s="6" t="s">
        <v>35</v>
      </c>
      <c r="F53" s="6" t="s">
        <v>36</v>
      </c>
      <c r="G53" s="6" t="s">
        <v>14</v>
      </c>
      <c r="H53" s="6" t="s">
        <v>15</v>
      </c>
      <c r="I53" s="9">
        <v>14.9</v>
      </c>
      <c r="J53" s="10" t="s">
        <v>16</v>
      </c>
    </row>
    <row r="54" spans="1:10" x14ac:dyDescent="0.25">
      <c r="A54" s="1">
        <v>1053</v>
      </c>
      <c r="B54" s="2" t="s">
        <v>98</v>
      </c>
      <c r="C54" s="1" t="s">
        <v>62</v>
      </c>
      <c r="D54" s="3">
        <v>45620</v>
      </c>
      <c r="E54" s="1" t="s">
        <v>99</v>
      </c>
      <c r="F54" s="1" t="s">
        <v>66</v>
      </c>
      <c r="G54" s="1" t="s">
        <v>14</v>
      </c>
      <c r="H54" s="1" t="s">
        <v>25</v>
      </c>
      <c r="I54" s="4">
        <v>700</v>
      </c>
      <c r="J54" s="12" t="s">
        <v>26</v>
      </c>
    </row>
    <row r="55" spans="1:10" x14ac:dyDescent="0.25">
      <c r="A55" s="6">
        <v>1054</v>
      </c>
      <c r="B55" s="7" t="s">
        <v>100</v>
      </c>
      <c r="C55" s="6" t="s">
        <v>38</v>
      </c>
      <c r="D55" s="8">
        <v>45383</v>
      </c>
      <c r="E55" s="6" t="s">
        <v>44</v>
      </c>
      <c r="F55" s="6" t="s">
        <v>68</v>
      </c>
      <c r="G55" s="6" t="s">
        <v>33</v>
      </c>
      <c r="H55" s="6" t="s">
        <v>25</v>
      </c>
      <c r="I55" s="9">
        <v>300</v>
      </c>
      <c r="J55" s="10" t="s">
        <v>16</v>
      </c>
    </row>
    <row r="56" spans="1:10" x14ac:dyDescent="0.25">
      <c r="A56" s="1">
        <v>1055</v>
      </c>
      <c r="B56" s="2" t="s">
        <v>101</v>
      </c>
      <c r="C56" s="1" t="s">
        <v>11</v>
      </c>
      <c r="D56" s="3">
        <v>45515</v>
      </c>
      <c r="E56" s="1" t="s">
        <v>21</v>
      </c>
      <c r="F56" s="1" t="s">
        <v>82</v>
      </c>
      <c r="G56" s="1" t="s">
        <v>33</v>
      </c>
      <c r="H56" s="1" t="s">
        <v>15</v>
      </c>
      <c r="I56" s="4">
        <v>24.5</v>
      </c>
      <c r="J56" s="5" t="s">
        <v>16</v>
      </c>
    </row>
    <row r="57" spans="1:10" x14ac:dyDescent="0.25">
      <c r="A57" s="6">
        <v>1056</v>
      </c>
      <c r="B57" s="7" t="s">
        <v>102</v>
      </c>
      <c r="C57" s="6" t="s">
        <v>28</v>
      </c>
      <c r="D57" s="8">
        <v>45292</v>
      </c>
      <c r="E57" s="6" t="s">
        <v>35</v>
      </c>
      <c r="F57" s="6" t="s">
        <v>66</v>
      </c>
      <c r="G57" s="6" t="s">
        <v>33</v>
      </c>
      <c r="H57" s="6" t="s">
        <v>15</v>
      </c>
      <c r="I57" s="9">
        <v>14.9</v>
      </c>
      <c r="J57" s="10" t="s">
        <v>16</v>
      </c>
    </row>
    <row r="58" spans="1:10" x14ac:dyDescent="0.25">
      <c r="A58" s="1">
        <v>1057</v>
      </c>
      <c r="B58" s="2" t="s">
        <v>103</v>
      </c>
      <c r="C58" s="1" t="s">
        <v>28</v>
      </c>
      <c r="D58" s="3">
        <v>45611</v>
      </c>
      <c r="E58" s="1" t="s">
        <v>99</v>
      </c>
      <c r="F58" s="1" t="s">
        <v>24</v>
      </c>
      <c r="G58" s="1" t="s">
        <v>14</v>
      </c>
      <c r="H58" s="1" t="s">
        <v>15</v>
      </c>
      <c r="I58" s="4">
        <v>14.9</v>
      </c>
      <c r="J58" s="5" t="s">
        <v>16</v>
      </c>
    </row>
    <row r="59" spans="1:10" x14ac:dyDescent="0.25">
      <c r="A59" s="6">
        <v>1058</v>
      </c>
      <c r="B59" s="7" t="s">
        <v>104</v>
      </c>
      <c r="C59" s="6" t="s">
        <v>11</v>
      </c>
      <c r="D59" s="8">
        <v>45459</v>
      </c>
      <c r="E59" s="6" t="s">
        <v>23</v>
      </c>
      <c r="F59" s="6" t="s">
        <v>30</v>
      </c>
      <c r="G59" s="6" t="s">
        <v>14</v>
      </c>
      <c r="H59" s="6" t="s">
        <v>15</v>
      </c>
      <c r="I59" s="9">
        <v>24.5</v>
      </c>
      <c r="J59" s="10" t="s">
        <v>16</v>
      </c>
    </row>
    <row r="60" spans="1:10" x14ac:dyDescent="0.25">
      <c r="A60" s="1">
        <v>1059</v>
      </c>
      <c r="B60" s="2" t="s">
        <v>105</v>
      </c>
      <c r="C60" s="1" t="s">
        <v>11</v>
      </c>
      <c r="D60" s="3">
        <v>45607</v>
      </c>
      <c r="E60" s="1" t="s">
        <v>99</v>
      </c>
      <c r="F60" s="1" t="s">
        <v>68</v>
      </c>
      <c r="G60" s="1" t="s">
        <v>14</v>
      </c>
      <c r="H60" s="1" t="s">
        <v>15</v>
      </c>
      <c r="I60" s="4">
        <v>24.5</v>
      </c>
      <c r="J60" s="5" t="s">
        <v>16</v>
      </c>
    </row>
    <row r="61" spans="1:10" x14ac:dyDescent="0.25">
      <c r="A61" s="6">
        <v>1060</v>
      </c>
      <c r="B61" s="7" t="s">
        <v>106</v>
      </c>
      <c r="C61" s="6" t="s">
        <v>28</v>
      </c>
      <c r="D61" s="8">
        <v>45694</v>
      </c>
      <c r="E61" s="6" t="s">
        <v>52</v>
      </c>
      <c r="F61" s="6" t="s">
        <v>68</v>
      </c>
      <c r="G61" s="6" t="s">
        <v>14</v>
      </c>
      <c r="H61" s="6" t="s">
        <v>15</v>
      </c>
      <c r="I61" s="9">
        <v>14.9</v>
      </c>
      <c r="J61" s="10" t="s">
        <v>16</v>
      </c>
    </row>
    <row r="62" spans="1:10" x14ac:dyDescent="0.25">
      <c r="A62" s="1">
        <v>1061</v>
      </c>
      <c r="B62" s="2" t="s">
        <v>85</v>
      </c>
      <c r="C62" s="1" t="s">
        <v>11</v>
      </c>
      <c r="D62" s="3">
        <v>45534</v>
      </c>
      <c r="E62" s="1" t="s">
        <v>21</v>
      </c>
      <c r="F62" s="1" t="s">
        <v>13</v>
      </c>
      <c r="G62" s="1" t="s">
        <v>14</v>
      </c>
      <c r="H62" s="1" t="s">
        <v>25</v>
      </c>
      <c r="I62" s="4">
        <v>20.83</v>
      </c>
      <c r="J62" s="5" t="s">
        <v>16</v>
      </c>
    </row>
    <row r="63" spans="1:10" x14ac:dyDescent="0.25">
      <c r="A63" s="6">
        <v>1062</v>
      </c>
      <c r="B63" s="7" t="s">
        <v>76</v>
      </c>
      <c r="C63" s="6" t="s">
        <v>28</v>
      </c>
      <c r="D63" s="8">
        <v>45636</v>
      </c>
      <c r="E63" s="6" t="s">
        <v>41</v>
      </c>
      <c r="F63" s="6" t="s">
        <v>24</v>
      </c>
      <c r="G63" s="6" t="s">
        <v>14</v>
      </c>
      <c r="H63" s="6" t="s">
        <v>15</v>
      </c>
      <c r="I63" s="9">
        <v>14.9</v>
      </c>
      <c r="J63" s="10" t="s">
        <v>16</v>
      </c>
    </row>
    <row r="64" spans="1:10" x14ac:dyDescent="0.25">
      <c r="A64" s="1">
        <v>1063</v>
      </c>
      <c r="B64" s="2" t="s">
        <v>107</v>
      </c>
      <c r="C64" s="1" t="s">
        <v>28</v>
      </c>
      <c r="D64" s="3">
        <v>45727</v>
      </c>
      <c r="E64" s="1" t="s">
        <v>80</v>
      </c>
      <c r="F64" s="1" t="s">
        <v>13</v>
      </c>
      <c r="G64" s="1" t="s">
        <v>14</v>
      </c>
      <c r="H64" s="1" t="s">
        <v>15</v>
      </c>
      <c r="I64" s="4">
        <v>14.9</v>
      </c>
      <c r="J64" s="12" t="s">
        <v>26</v>
      </c>
    </row>
    <row r="65" spans="1:10" x14ac:dyDescent="0.25">
      <c r="A65" s="6">
        <v>1064</v>
      </c>
      <c r="B65" s="7" t="s">
        <v>108</v>
      </c>
      <c r="C65" s="6" t="s">
        <v>20</v>
      </c>
      <c r="D65" s="8">
        <v>45496</v>
      </c>
      <c r="E65" s="6" t="s">
        <v>29</v>
      </c>
      <c r="F65" s="6" t="s">
        <v>13</v>
      </c>
      <c r="G65" s="6" t="s">
        <v>14</v>
      </c>
      <c r="H65" s="6" t="s">
        <v>15</v>
      </c>
      <c r="I65" s="9">
        <v>60</v>
      </c>
      <c r="J65" s="10" t="s">
        <v>16</v>
      </c>
    </row>
    <row r="66" spans="1:10" x14ac:dyDescent="0.25">
      <c r="A66" s="1">
        <v>1065</v>
      </c>
      <c r="B66" s="2" t="s">
        <v>109</v>
      </c>
      <c r="C66" s="1" t="s">
        <v>20</v>
      </c>
      <c r="D66" s="3">
        <v>45703</v>
      </c>
      <c r="E66" s="1" t="s">
        <v>52</v>
      </c>
      <c r="F66" s="1" t="s">
        <v>78</v>
      </c>
      <c r="G66" s="1" t="s">
        <v>14</v>
      </c>
      <c r="H66" s="1" t="s">
        <v>15</v>
      </c>
      <c r="I66" s="4">
        <v>60</v>
      </c>
      <c r="J66" s="5" t="s">
        <v>16</v>
      </c>
    </row>
    <row r="67" spans="1:10" x14ac:dyDescent="0.25">
      <c r="A67" s="6">
        <v>1066</v>
      </c>
      <c r="B67" s="7" t="s">
        <v>110</v>
      </c>
      <c r="C67" s="6" t="s">
        <v>38</v>
      </c>
      <c r="D67" s="8">
        <v>45360</v>
      </c>
      <c r="E67" s="6" t="s">
        <v>63</v>
      </c>
      <c r="F67" s="6" t="s">
        <v>39</v>
      </c>
      <c r="G67" s="6" t="s">
        <v>14</v>
      </c>
      <c r="H67" s="6" t="s">
        <v>25</v>
      </c>
      <c r="I67" s="9">
        <v>300</v>
      </c>
      <c r="J67" s="11" t="s">
        <v>26</v>
      </c>
    </row>
    <row r="68" spans="1:10" x14ac:dyDescent="0.25">
      <c r="A68" s="1">
        <v>1067</v>
      </c>
      <c r="B68" s="2" t="s">
        <v>111</v>
      </c>
      <c r="C68" s="1" t="s">
        <v>62</v>
      </c>
      <c r="D68" s="3">
        <v>45709</v>
      </c>
      <c r="E68" s="1" t="s">
        <v>52</v>
      </c>
      <c r="F68" s="1" t="s">
        <v>66</v>
      </c>
      <c r="G68" s="1" t="s">
        <v>14</v>
      </c>
      <c r="H68" s="1" t="s">
        <v>25</v>
      </c>
      <c r="I68" s="4">
        <v>700</v>
      </c>
      <c r="J68" s="12" t="s">
        <v>26</v>
      </c>
    </row>
    <row r="69" spans="1:10" x14ac:dyDescent="0.25">
      <c r="A69" s="6">
        <v>1068</v>
      </c>
      <c r="B69" s="7" t="s">
        <v>112</v>
      </c>
      <c r="C69" s="6" t="s">
        <v>38</v>
      </c>
      <c r="D69" s="8">
        <v>45522</v>
      </c>
      <c r="E69" s="6" t="s">
        <v>21</v>
      </c>
      <c r="F69" s="6" t="s">
        <v>24</v>
      </c>
      <c r="G69" s="6" t="s">
        <v>14</v>
      </c>
      <c r="H69" s="6" t="s">
        <v>25</v>
      </c>
      <c r="I69" s="9">
        <v>300</v>
      </c>
      <c r="J69" s="10" t="s">
        <v>16</v>
      </c>
    </row>
    <row r="70" spans="1:10" x14ac:dyDescent="0.25">
      <c r="A70" s="1">
        <v>1069</v>
      </c>
      <c r="B70" s="2" t="s">
        <v>113</v>
      </c>
      <c r="C70" s="1" t="s">
        <v>20</v>
      </c>
      <c r="D70" s="3">
        <v>45612</v>
      </c>
      <c r="E70" s="1" t="s">
        <v>99</v>
      </c>
      <c r="F70" s="1" t="s">
        <v>13</v>
      </c>
      <c r="G70" s="1" t="s">
        <v>14</v>
      </c>
      <c r="H70" s="1" t="s">
        <v>25</v>
      </c>
      <c r="I70" s="4">
        <v>55</v>
      </c>
      <c r="J70" s="5" t="s">
        <v>16</v>
      </c>
    </row>
    <row r="71" spans="1:10" x14ac:dyDescent="0.25">
      <c r="A71" s="6">
        <v>1070</v>
      </c>
      <c r="B71" s="7" t="s">
        <v>114</v>
      </c>
      <c r="C71" s="6" t="s">
        <v>28</v>
      </c>
      <c r="D71" s="8">
        <v>45749</v>
      </c>
      <c r="E71" s="6" t="s">
        <v>60</v>
      </c>
      <c r="F71" s="6" t="s">
        <v>49</v>
      </c>
      <c r="G71" s="6" t="s">
        <v>14</v>
      </c>
      <c r="H71" s="6" t="s">
        <v>15</v>
      </c>
      <c r="I71" s="9">
        <v>14.9</v>
      </c>
      <c r="J71" s="10" t="s">
        <v>16</v>
      </c>
    </row>
    <row r="72" spans="1:10" x14ac:dyDescent="0.25">
      <c r="A72" s="1">
        <v>1071</v>
      </c>
      <c r="B72" s="2" t="s">
        <v>115</v>
      </c>
      <c r="C72" s="1" t="s">
        <v>20</v>
      </c>
      <c r="D72" s="3">
        <v>45324</v>
      </c>
      <c r="E72" s="1" t="s">
        <v>18</v>
      </c>
      <c r="F72" s="1" t="s">
        <v>30</v>
      </c>
      <c r="G72" s="1" t="s">
        <v>14</v>
      </c>
      <c r="H72" s="1" t="s">
        <v>25</v>
      </c>
      <c r="I72" s="4">
        <v>55</v>
      </c>
      <c r="J72" s="5" t="s">
        <v>16</v>
      </c>
    </row>
    <row r="73" spans="1:10" x14ac:dyDescent="0.25">
      <c r="A73" s="6">
        <v>1072</v>
      </c>
      <c r="B73" s="7" t="s">
        <v>116</v>
      </c>
      <c r="C73" s="6" t="s">
        <v>28</v>
      </c>
      <c r="D73" s="8">
        <v>45755</v>
      </c>
      <c r="E73" s="6" t="s">
        <v>60</v>
      </c>
      <c r="F73" s="6" t="s">
        <v>68</v>
      </c>
      <c r="G73" s="6" t="s">
        <v>33</v>
      </c>
      <c r="H73" s="6" t="s">
        <v>15</v>
      </c>
      <c r="I73" s="9">
        <v>14.9</v>
      </c>
      <c r="J73" s="10" t="s">
        <v>16</v>
      </c>
    </row>
    <row r="74" spans="1:10" x14ac:dyDescent="0.25">
      <c r="A74" s="1">
        <v>1073</v>
      </c>
      <c r="B74" s="2" t="s">
        <v>117</v>
      </c>
      <c r="C74" s="1" t="s">
        <v>11</v>
      </c>
      <c r="D74" s="3">
        <v>45677</v>
      </c>
      <c r="E74" s="1" t="s">
        <v>48</v>
      </c>
      <c r="F74" s="1" t="s">
        <v>30</v>
      </c>
      <c r="G74" s="1" t="s">
        <v>33</v>
      </c>
      <c r="H74" s="1" t="s">
        <v>25</v>
      </c>
      <c r="I74" s="4">
        <v>20.83</v>
      </c>
      <c r="J74" s="12" t="s">
        <v>26</v>
      </c>
    </row>
    <row r="75" spans="1:10" x14ac:dyDescent="0.25">
      <c r="A75" s="6">
        <v>1074</v>
      </c>
      <c r="B75" s="7" t="s">
        <v>118</v>
      </c>
      <c r="C75" s="6" t="s">
        <v>11</v>
      </c>
      <c r="D75" s="8">
        <v>45701</v>
      </c>
      <c r="E75" s="6" t="s">
        <v>52</v>
      </c>
      <c r="F75" s="6" t="s">
        <v>82</v>
      </c>
      <c r="G75" s="6" t="s">
        <v>33</v>
      </c>
      <c r="H75" s="6" t="s">
        <v>25</v>
      </c>
      <c r="I75" s="9">
        <v>20.83</v>
      </c>
      <c r="J75" s="10" t="s">
        <v>16</v>
      </c>
    </row>
    <row r="76" spans="1:10" x14ac:dyDescent="0.25">
      <c r="A76" s="1">
        <v>1075</v>
      </c>
      <c r="B76" s="2" t="s">
        <v>119</v>
      </c>
      <c r="C76" s="1" t="s">
        <v>11</v>
      </c>
      <c r="D76" s="3">
        <v>45464</v>
      </c>
      <c r="E76" s="1" t="s">
        <v>23</v>
      </c>
      <c r="F76" s="1" t="s">
        <v>36</v>
      </c>
      <c r="G76" s="1" t="s">
        <v>14</v>
      </c>
      <c r="H76" s="1" t="s">
        <v>15</v>
      </c>
      <c r="I76" s="4">
        <v>24.5</v>
      </c>
      <c r="J76" s="5" t="s">
        <v>16</v>
      </c>
    </row>
    <row r="77" spans="1:10" x14ac:dyDescent="0.25">
      <c r="A77" s="6">
        <v>1076</v>
      </c>
      <c r="B77" s="7" t="s">
        <v>120</v>
      </c>
      <c r="C77" s="6" t="s">
        <v>38</v>
      </c>
      <c r="D77" s="8">
        <v>45565</v>
      </c>
      <c r="E77" s="6" t="s">
        <v>56</v>
      </c>
      <c r="F77" s="6" t="s">
        <v>13</v>
      </c>
      <c r="G77" s="6" t="s">
        <v>33</v>
      </c>
      <c r="H77" s="6" t="s">
        <v>25</v>
      </c>
      <c r="I77" s="9">
        <v>300</v>
      </c>
      <c r="J77" s="10" t="s">
        <v>16</v>
      </c>
    </row>
    <row r="78" spans="1:10" x14ac:dyDescent="0.25">
      <c r="A78" s="1">
        <v>1077</v>
      </c>
      <c r="B78" s="2" t="s">
        <v>121</v>
      </c>
      <c r="C78" s="1" t="s">
        <v>28</v>
      </c>
      <c r="D78" s="3">
        <v>45735</v>
      </c>
      <c r="E78" s="1" t="s">
        <v>80</v>
      </c>
      <c r="F78" s="1" t="s">
        <v>39</v>
      </c>
      <c r="G78" s="1" t="s">
        <v>14</v>
      </c>
      <c r="H78" s="1" t="s">
        <v>15</v>
      </c>
      <c r="I78" s="4">
        <v>14.9</v>
      </c>
      <c r="J78" s="5" t="s">
        <v>16</v>
      </c>
    </row>
    <row r="79" spans="1:10" x14ac:dyDescent="0.25">
      <c r="A79" s="6">
        <v>1078</v>
      </c>
      <c r="B79" s="7" t="s">
        <v>122</v>
      </c>
      <c r="C79" s="6" t="s">
        <v>28</v>
      </c>
      <c r="D79" s="8">
        <v>45681</v>
      </c>
      <c r="E79" s="6" t="s">
        <v>48</v>
      </c>
      <c r="F79" s="6" t="s">
        <v>30</v>
      </c>
      <c r="G79" s="6" t="s">
        <v>14</v>
      </c>
      <c r="H79" s="6" t="s">
        <v>15</v>
      </c>
      <c r="I79" s="9">
        <v>14.9</v>
      </c>
      <c r="J79" s="11" t="s">
        <v>26</v>
      </c>
    </row>
    <row r="80" spans="1:10" x14ac:dyDescent="0.25">
      <c r="A80" s="1">
        <v>1079</v>
      </c>
      <c r="B80" s="2" t="s">
        <v>123</v>
      </c>
      <c r="C80" s="1" t="s">
        <v>28</v>
      </c>
      <c r="D80" s="3">
        <v>45301</v>
      </c>
      <c r="E80" s="1" t="s">
        <v>35</v>
      </c>
      <c r="F80" s="1" t="s">
        <v>49</v>
      </c>
      <c r="G80" s="1" t="s">
        <v>14</v>
      </c>
      <c r="H80" s="1" t="s">
        <v>15</v>
      </c>
      <c r="I80" s="4">
        <v>14.9</v>
      </c>
      <c r="J80" s="12" t="s">
        <v>26</v>
      </c>
    </row>
    <row r="81" spans="1:10" x14ac:dyDescent="0.25">
      <c r="A81" s="6">
        <v>1080</v>
      </c>
      <c r="B81" s="7" t="s">
        <v>43</v>
      </c>
      <c r="C81" s="6" t="s">
        <v>11</v>
      </c>
      <c r="D81" s="8">
        <v>45678</v>
      </c>
      <c r="E81" s="6" t="s">
        <v>48</v>
      </c>
      <c r="F81" s="6" t="s">
        <v>13</v>
      </c>
      <c r="G81" s="6" t="s">
        <v>33</v>
      </c>
      <c r="H81" s="6" t="s">
        <v>15</v>
      </c>
      <c r="I81" s="9">
        <v>24.5</v>
      </c>
      <c r="J81" s="10" t="s">
        <v>16</v>
      </c>
    </row>
    <row r="82" spans="1:10" x14ac:dyDescent="0.25">
      <c r="A82" s="1">
        <v>1081</v>
      </c>
      <c r="B82" s="2" t="s">
        <v>124</v>
      </c>
      <c r="C82" s="1" t="s">
        <v>11</v>
      </c>
      <c r="D82" s="3">
        <v>45534</v>
      </c>
      <c r="E82" s="1" t="s">
        <v>21</v>
      </c>
      <c r="F82" s="1" t="s">
        <v>36</v>
      </c>
      <c r="G82" s="1" t="s">
        <v>14</v>
      </c>
      <c r="H82" s="1" t="s">
        <v>25</v>
      </c>
      <c r="I82" s="4">
        <v>20.83</v>
      </c>
      <c r="J82" s="12" t="s">
        <v>26</v>
      </c>
    </row>
    <row r="83" spans="1:10" x14ac:dyDescent="0.25">
      <c r="A83" s="6">
        <v>1082</v>
      </c>
      <c r="B83" s="7" t="s">
        <v>125</v>
      </c>
      <c r="C83" s="6" t="s">
        <v>20</v>
      </c>
      <c r="D83" s="8">
        <v>45377</v>
      </c>
      <c r="E83" s="6" t="s">
        <v>63</v>
      </c>
      <c r="F83" s="6" t="s">
        <v>82</v>
      </c>
      <c r="G83" s="6" t="s">
        <v>14</v>
      </c>
      <c r="H83" s="6" t="s">
        <v>15</v>
      </c>
      <c r="I83" s="9">
        <v>60</v>
      </c>
      <c r="J83" s="10" t="s">
        <v>16</v>
      </c>
    </row>
    <row r="84" spans="1:10" x14ac:dyDescent="0.25">
      <c r="A84" s="1">
        <v>1083</v>
      </c>
      <c r="B84" s="2" t="s">
        <v>126</v>
      </c>
      <c r="C84" s="1" t="s">
        <v>20</v>
      </c>
      <c r="D84" s="3">
        <v>45347</v>
      </c>
      <c r="E84" s="1" t="s">
        <v>18</v>
      </c>
      <c r="F84" s="1" t="s">
        <v>68</v>
      </c>
      <c r="G84" s="1" t="s">
        <v>14</v>
      </c>
      <c r="H84" s="1" t="s">
        <v>25</v>
      </c>
      <c r="I84" s="4">
        <v>55</v>
      </c>
      <c r="J84" s="5" t="s">
        <v>16</v>
      </c>
    </row>
    <row r="85" spans="1:10" x14ac:dyDescent="0.25">
      <c r="A85" s="6">
        <v>1084</v>
      </c>
      <c r="B85" s="7" t="s">
        <v>115</v>
      </c>
      <c r="C85" s="6" t="s">
        <v>11</v>
      </c>
      <c r="D85" s="8">
        <v>45330</v>
      </c>
      <c r="E85" s="6" t="s">
        <v>18</v>
      </c>
      <c r="F85" s="6" t="s">
        <v>68</v>
      </c>
      <c r="G85" s="6" t="s">
        <v>14</v>
      </c>
      <c r="H85" s="6" t="s">
        <v>15</v>
      </c>
      <c r="I85" s="9">
        <v>24.5</v>
      </c>
      <c r="J85" s="10" t="s">
        <v>16</v>
      </c>
    </row>
    <row r="86" spans="1:10" x14ac:dyDescent="0.25">
      <c r="A86" s="1">
        <v>1085</v>
      </c>
      <c r="B86" s="2" t="s">
        <v>127</v>
      </c>
      <c r="C86" s="1" t="s">
        <v>20</v>
      </c>
      <c r="D86" s="3">
        <v>45704</v>
      </c>
      <c r="E86" s="1" t="s">
        <v>52</v>
      </c>
      <c r="F86" s="1" t="s">
        <v>13</v>
      </c>
      <c r="G86" s="1" t="s">
        <v>33</v>
      </c>
      <c r="H86" s="1" t="s">
        <v>15</v>
      </c>
      <c r="I86" s="4">
        <v>60</v>
      </c>
      <c r="J86" s="5" t="s">
        <v>16</v>
      </c>
    </row>
    <row r="87" spans="1:10" x14ac:dyDescent="0.25">
      <c r="A87" s="6">
        <v>1086</v>
      </c>
      <c r="B87" s="7" t="s">
        <v>128</v>
      </c>
      <c r="C87" s="6" t="s">
        <v>28</v>
      </c>
      <c r="D87" s="8">
        <v>45327</v>
      </c>
      <c r="E87" s="6" t="s">
        <v>18</v>
      </c>
      <c r="F87" s="6" t="s">
        <v>66</v>
      </c>
      <c r="G87" s="6" t="s">
        <v>14</v>
      </c>
      <c r="H87" s="6" t="s">
        <v>15</v>
      </c>
      <c r="I87" s="9">
        <v>14.9</v>
      </c>
      <c r="J87" s="10" t="s">
        <v>16</v>
      </c>
    </row>
    <row r="88" spans="1:10" x14ac:dyDescent="0.25">
      <c r="A88" s="1">
        <v>1087</v>
      </c>
      <c r="B88" s="2" t="s">
        <v>72</v>
      </c>
      <c r="C88" s="1" t="s">
        <v>20</v>
      </c>
      <c r="D88" s="3">
        <v>45477</v>
      </c>
      <c r="E88" s="1" t="s">
        <v>29</v>
      </c>
      <c r="F88" s="1" t="s">
        <v>46</v>
      </c>
      <c r="G88" s="1" t="s">
        <v>33</v>
      </c>
      <c r="H88" s="1" t="s">
        <v>15</v>
      </c>
      <c r="I88" s="4">
        <v>60</v>
      </c>
      <c r="J88" s="5" t="s">
        <v>16</v>
      </c>
    </row>
    <row r="89" spans="1:10" x14ac:dyDescent="0.25">
      <c r="A89" s="6">
        <v>1088</v>
      </c>
      <c r="B89" s="7" t="s">
        <v>129</v>
      </c>
      <c r="C89" s="6" t="s">
        <v>11</v>
      </c>
      <c r="D89" s="8">
        <v>45625</v>
      </c>
      <c r="E89" s="6" t="s">
        <v>99</v>
      </c>
      <c r="F89" s="6" t="s">
        <v>24</v>
      </c>
      <c r="G89" s="6" t="s">
        <v>14</v>
      </c>
      <c r="H89" s="6" t="s">
        <v>25</v>
      </c>
      <c r="I89" s="9">
        <v>20.83</v>
      </c>
      <c r="J89" s="11" t="s">
        <v>26</v>
      </c>
    </row>
    <row r="90" spans="1:10" x14ac:dyDescent="0.25">
      <c r="A90" s="1">
        <v>1089</v>
      </c>
      <c r="B90" s="2" t="s">
        <v>70</v>
      </c>
      <c r="C90" s="1" t="s">
        <v>11</v>
      </c>
      <c r="D90" s="3">
        <v>45429</v>
      </c>
      <c r="E90" s="1" t="s">
        <v>12</v>
      </c>
      <c r="F90" s="1" t="s">
        <v>24</v>
      </c>
      <c r="G90" s="1" t="s">
        <v>33</v>
      </c>
      <c r="H90" s="1" t="s">
        <v>15</v>
      </c>
      <c r="I90" s="4">
        <v>24.5</v>
      </c>
      <c r="J90" s="5" t="s">
        <v>16</v>
      </c>
    </row>
    <row r="91" spans="1:10" x14ac:dyDescent="0.25">
      <c r="A91" s="6">
        <v>1090</v>
      </c>
      <c r="B91" s="7" t="s">
        <v>130</v>
      </c>
      <c r="C91" s="6" t="s">
        <v>28</v>
      </c>
      <c r="D91" s="8">
        <v>45676</v>
      </c>
      <c r="E91" s="6" t="s">
        <v>48</v>
      </c>
      <c r="F91" s="6" t="s">
        <v>39</v>
      </c>
      <c r="G91" s="6" t="s">
        <v>14</v>
      </c>
      <c r="H91" s="6" t="s">
        <v>15</v>
      </c>
      <c r="I91" s="9">
        <v>14.9</v>
      </c>
      <c r="J91" s="10" t="s">
        <v>16</v>
      </c>
    </row>
    <row r="92" spans="1:10" x14ac:dyDescent="0.25">
      <c r="A92" s="1">
        <v>1091</v>
      </c>
      <c r="B92" s="2" t="s">
        <v>131</v>
      </c>
      <c r="C92" s="1" t="s">
        <v>28</v>
      </c>
      <c r="D92" s="3">
        <v>45541</v>
      </c>
      <c r="E92" s="1" t="s">
        <v>56</v>
      </c>
      <c r="F92" s="1" t="s">
        <v>13</v>
      </c>
      <c r="G92" s="1" t="s">
        <v>14</v>
      </c>
      <c r="H92" s="1" t="s">
        <v>15</v>
      </c>
      <c r="I92" s="4">
        <v>14.9</v>
      </c>
      <c r="J92" s="5" t="s">
        <v>16</v>
      </c>
    </row>
    <row r="93" spans="1:10" x14ac:dyDescent="0.25">
      <c r="A93" s="6">
        <v>1092</v>
      </c>
      <c r="B93" s="7" t="s">
        <v>132</v>
      </c>
      <c r="C93" s="6" t="s">
        <v>38</v>
      </c>
      <c r="D93" s="8">
        <v>45576</v>
      </c>
      <c r="E93" s="6" t="s">
        <v>32</v>
      </c>
      <c r="F93" s="6" t="s">
        <v>13</v>
      </c>
      <c r="G93" s="6" t="s">
        <v>14</v>
      </c>
      <c r="H93" s="6" t="s">
        <v>25</v>
      </c>
      <c r="I93" s="9">
        <v>300</v>
      </c>
      <c r="J93" s="10" t="s">
        <v>16</v>
      </c>
    </row>
    <row r="94" spans="1:10" x14ac:dyDescent="0.25">
      <c r="A94" s="1">
        <v>1093</v>
      </c>
      <c r="B94" s="2" t="s">
        <v>133</v>
      </c>
      <c r="C94" s="1" t="s">
        <v>20</v>
      </c>
      <c r="D94" s="3">
        <v>45680</v>
      </c>
      <c r="E94" s="1" t="s">
        <v>48</v>
      </c>
      <c r="F94" s="1" t="s">
        <v>13</v>
      </c>
      <c r="G94" s="1" t="s">
        <v>14</v>
      </c>
      <c r="H94" s="1" t="s">
        <v>25</v>
      </c>
      <c r="I94" s="4">
        <v>55</v>
      </c>
      <c r="J94" s="5" t="s">
        <v>16</v>
      </c>
    </row>
    <row r="95" spans="1:10" x14ac:dyDescent="0.25">
      <c r="A95" s="6">
        <v>1094</v>
      </c>
      <c r="B95" s="7" t="s">
        <v>134</v>
      </c>
      <c r="C95" s="6" t="s">
        <v>11</v>
      </c>
      <c r="D95" s="8">
        <v>45442</v>
      </c>
      <c r="E95" s="6" t="s">
        <v>12</v>
      </c>
      <c r="F95" s="6" t="s">
        <v>13</v>
      </c>
      <c r="G95" s="6" t="s">
        <v>14</v>
      </c>
      <c r="H95" s="6" t="s">
        <v>25</v>
      </c>
      <c r="I95" s="9">
        <v>20.83</v>
      </c>
      <c r="J95" s="10" t="s">
        <v>16</v>
      </c>
    </row>
    <row r="96" spans="1:10" x14ac:dyDescent="0.25">
      <c r="A96" s="1">
        <v>1095</v>
      </c>
      <c r="B96" s="2" t="s">
        <v>135</v>
      </c>
      <c r="C96" s="1" t="s">
        <v>11</v>
      </c>
      <c r="D96" s="3">
        <v>45509</v>
      </c>
      <c r="E96" s="1" t="s">
        <v>21</v>
      </c>
      <c r="F96" s="1" t="s">
        <v>49</v>
      </c>
      <c r="G96" s="1" t="s">
        <v>14</v>
      </c>
      <c r="H96" s="1" t="s">
        <v>25</v>
      </c>
      <c r="I96" s="4">
        <v>20.83</v>
      </c>
      <c r="J96" s="5" t="s">
        <v>16</v>
      </c>
    </row>
    <row r="97" spans="1:10" x14ac:dyDescent="0.25">
      <c r="A97" s="6">
        <v>1096</v>
      </c>
      <c r="B97" s="7" t="s">
        <v>136</v>
      </c>
      <c r="C97" s="6" t="s">
        <v>28</v>
      </c>
      <c r="D97" s="8">
        <v>45661</v>
      </c>
      <c r="E97" s="6" t="s">
        <v>48</v>
      </c>
      <c r="F97" s="6" t="s">
        <v>13</v>
      </c>
      <c r="G97" s="6" t="s">
        <v>14</v>
      </c>
      <c r="H97" s="6" t="s">
        <v>15</v>
      </c>
      <c r="I97" s="9">
        <v>14.9</v>
      </c>
      <c r="J97" s="10" t="s">
        <v>16</v>
      </c>
    </row>
    <row r="98" spans="1:10" x14ac:dyDescent="0.25">
      <c r="A98" s="1">
        <v>1097</v>
      </c>
      <c r="B98" s="2" t="s">
        <v>112</v>
      </c>
      <c r="C98" s="1" t="s">
        <v>28</v>
      </c>
      <c r="D98" s="3">
        <v>45433</v>
      </c>
      <c r="E98" s="1" t="s">
        <v>12</v>
      </c>
      <c r="F98" s="1" t="s">
        <v>68</v>
      </c>
      <c r="G98" s="1" t="s">
        <v>33</v>
      </c>
      <c r="H98" s="1" t="s">
        <v>15</v>
      </c>
      <c r="I98" s="4">
        <v>14.9</v>
      </c>
      <c r="J98" s="5" t="s">
        <v>16</v>
      </c>
    </row>
    <row r="99" spans="1:10" x14ac:dyDescent="0.25">
      <c r="A99" s="6">
        <v>1098</v>
      </c>
      <c r="B99" s="7" t="s">
        <v>137</v>
      </c>
      <c r="C99" s="6" t="s">
        <v>62</v>
      </c>
      <c r="D99" s="8">
        <v>45408</v>
      </c>
      <c r="E99" s="6" t="s">
        <v>44</v>
      </c>
      <c r="F99" s="6" t="s">
        <v>30</v>
      </c>
      <c r="G99" s="6" t="s">
        <v>14</v>
      </c>
      <c r="H99" s="6" t="s">
        <v>25</v>
      </c>
      <c r="I99" s="9">
        <v>700</v>
      </c>
      <c r="J99" s="10" t="s">
        <v>16</v>
      </c>
    </row>
    <row r="100" spans="1:10" x14ac:dyDescent="0.25">
      <c r="A100" s="1">
        <v>1099</v>
      </c>
      <c r="B100" s="2" t="s">
        <v>138</v>
      </c>
      <c r="C100" s="1" t="s">
        <v>28</v>
      </c>
      <c r="D100" s="3">
        <v>45441</v>
      </c>
      <c r="E100" s="1" t="s">
        <v>12</v>
      </c>
      <c r="F100" s="1" t="s">
        <v>78</v>
      </c>
      <c r="G100" s="1" t="s">
        <v>33</v>
      </c>
      <c r="H100" s="1" t="s">
        <v>15</v>
      </c>
      <c r="I100" s="4">
        <v>14.9</v>
      </c>
      <c r="J100" s="5" t="s">
        <v>16</v>
      </c>
    </row>
    <row r="101" spans="1:10" x14ac:dyDescent="0.25">
      <c r="A101" s="6">
        <v>1100</v>
      </c>
      <c r="B101" s="7" t="s">
        <v>139</v>
      </c>
      <c r="C101" s="6" t="s">
        <v>28</v>
      </c>
      <c r="D101" s="8">
        <v>45437</v>
      </c>
      <c r="E101" s="6" t="s">
        <v>12</v>
      </c>
      <c r="F101" s="6" t="s">
        <v>71</v>
      </c>
      <c r="G101" s="6" t="s">
        <v>14</v>
      </c>
      <c r="H101" s="6" t="s">
        <v>15</v>
      </c>
      <c r="I101" s="9">
        <v>14.9</v>
      </c>
      <c r="J101" s="10" t="s">
        <v>16</v>
      </c>
    </row>
    <row r="102" spans="1:10" x14ac:dyDescent="0.25">
      <c r="A102" s="1">
        <v>1101</v>
      </c>
      <c r="B102" s="2" t="s">
        <v>140</v>
      </c>
      <c r="C102" s="1" t="s">
        <v>28</v>
      </c>
      <c r="D102" s="3">
        <v>45712</v>
      </c>
      <c r="E102" s="1" t="s">
        <v>52</v>
      </c>
      <c r="F102" s="1" t="s">
        <v>13</v>
      </c>
      <c r="G102" s="1" t="s">
        <v>14</v>
      </c>
      <c r="H102" s="1" t="s">
        <v>15</v>
      </c>
      <c r="I102" s="4">
        <v>14.9</v>
      </c>
      <c r="J102" s="5" t="s">
        <v>16</v>
      </c>
    </row>
    <row r="103" spans="1:10" x14ac:dyDescent="0.25">
      <c r="A103" s="6">
        <v>1102</v>
      </c>
      <c r="B103" s="7" t="s">
        <v>141</v>
      </c>
      <c r="C103" s="6" t="s">
        <v>28</v>
      </c>
      <c r="D103" s="8">
        <v>45335</v>
      </c>
      <c r="E103" s="6" t="s">
        <v>18</v>
      </c>
      <c r="F103" s="6" t="s">
        <v>13</v>
      </c>
      <c r="G103" s="6" t="s">
        <v>14</v>
      </c>
      <c r="H103" s="6" t="s">
        <v>15</v>
      </c>
      <c r="I103" s="9">
        <v>14.9</v>
      </c>
      <c r="J103" s="10" t="s">
        <v>16</v>
      </c>
    </row>
    <row r="104" spans="1:10" x14ac:dyDescent="0.25">
      <c r="A104" s="1">
        <v>1103</v>
      </c>
      <c r="B104" s="2" t="s">
        <v>142</v>
      </c>
      <c r="C104" s="1" t="s">
        <v>20</v>
      </c>
      <c r="D104" s="3">
        <v>45757</v>
      </c>
      <c r="E104" s="1" t="s">
        <v>60</v>
      </c>
      <c r="F104" s="1" t="s">
        <v>39</v>
      </c>
      <c r="G104" s="1" t="s">
        <v>14</v>
      </c>
      <c r="H104" s="1" t="s">
        <v>25</v>
      </c>
      <c r="I104" s="4">
        <v>55</v>
      </c>
      <c r="J104" s="5" t="s">
        <v>16</v>
      </c>
    </row>
    <row r="105" spans="1:10" x14ac:dyDescent="0.25">
      <c r="A105" s="6">
        <v>1104</v>
      </c>
      <c r="B105" s="7" t="s">
        <v>143</v>
      </c>
      <c r="C105" s="6" t="s">
        <v>28</v>
      </c>
      <c r="D105" s="8">
        <v>45604</v>
      </c>
      <c r="E105" s="6" t="s">
        <v>99</v>
      </c>
      <c r="F105" s="6" t="s">
        <v>13</v>
      </c>
      <c r="G105" s="6" t="s">
        <v>33</v>
      </c>
      <c r="H105" s="6" t="s">
        <v>15</v>
      </c>
      <c r="I105" s="9">
        <v>14.9</v>
      </c>
      <c r="J105" s="10" t="s">
        <v>16</v>
      </c>
    </row>
    <row r="106" spans="1:10" x14ac:dyDescent="0.25">
      <c r="A106" s="1">
        <v>1105</v>
      </c>
      <c r="B106" s="2" t="s">
        <v>144</v>
      </c>
      <c r="C106" s="1" t="s">
        <v>28</v>
      </c>
      <c r="D106" s="3">
        <v>45414</v>
      </c>
      <c r="E106" s="1" t="s">
        <v>12</v>
      </c>
      <c r="F106" s="1" t="s">
        <v>13</v>
      </c>
      <c r="G106" s="1" t="s">
        <v>14</v>
      </c>
      <c r="H106" s="1" t="s">
        <v>15</v>
      </c>
      <c r="I106" s="4">
        <v>14.9</v>
      </c>
      <c r="J106" s="5" t="s">
        <v>16</v>
      </c>
    </row>
    <row r="107" spans="1:10" x14ac:dyDescent="0.25">
      <c r="A107" s="6">
        <v>1106</v>
      </c>
      <c r="B107" s="7" t="s">
        <v>145</v>
      </c>
      <c r="C107" s="6" t="s">
        <v>11</v>
      </c>
      <c r="D107" s="8">
        <v>45441</v>
      </c>
      <c r="E107" s="6" t="s">
        <v>12</v>
      </c>
      <c r="F107" s="6" t="s">
        <v>13</v>
      </c>
      <c r="G107" s="6" t="s">
        <v>14</v>
      </c>
      <c r="H107" s="6" t="s">
        <v>25</v>
      </c>
      <c r="I107" s="9">
        <v>20.83</v>
      </c>
      <c r="J107" s="10" t="s">
        <v>16</v>
      </c>
    </row>
    <row r="108" spans="1:10" x14ac:dyDescent="0.25">
      <c r="A108" s="1">
        <v>1107</v>
      </c>
      <c r="B108" s="2" t="s">
        <v>146</v>
      </c>
      <c r="C108" s="1" t="s">
        <v>28</v>
      </c>
      <c r="D108" s="3">
        <v>45695</v>
      </c>
      <c r="E108" s="1" t="s">
        <v>52</v>
      </c>
      <c r="F108" s="1" t="s">
        <v>46</v>
      </c>
      <c r="G108" s="1" t="s">
        <v>14</v>
      </c>
      <c r="H108" s="1" t="s">
        <v>15</v>
      </c>
      <c r="I108" s="4">
        <v>14.9</v>
      </c>
      <c r="J108" s="5" t="s">
        <v>16</v>
      </c>
    </row>
    <row r="109" spans="1:10" x14ac:dyDescent="0.25">
      <c r="A109" s="6">
        <v>1108</v>
      </c>
      <c r="B109" s="7" t="s">
        <v>147</v>
      </c>
      <c r="C109" s="6" t="s">
        <v>11</v>
      </c>
      <c r="D109" s="8">
        <v>45623</v>
      </c>
      <c r="E109" s="6" t="s">
        <v>99</v>
      </c>
      <c r="F109" s="6" t="s">
        <v>13</v>
      </c>
      <c r="G109" s="6" t="s">
        <v>33</v>
      </c>
      <c r="H109" s="6" t="s">
        <v>15</v>
      </c>
      <c r="I109" s="9">
        <v>24.5</v>
      </c>
      <c r="J109" s="10" t="s">
        <v>16</v>
      </c>
    </row>
    <row r="110" spans="1:10" x14ac:dyDescent="0.25">
      <c r="A110" s="1">
        <v>1109</v>
      </c>
      <c r="B110" s="2" t="s">
        <v>127</v>
      </c>
      <c r="C110" s="1" t="s">
        <v>28</v>
      </c>
      <c r="D110" s="3">
        <v>45675</v>
      </c>
      <c r="E110" s="1" t="s">
        <v>48</v>
      </c>
      <c r="F110" s="1" t="s">
        <v>68</v>
      </c>
      <c r="G110" s="1" t="s">
        <v>33</v>
      </c>
      <c r="H110" s="1" t="s">
        <v>15</v>
      </c>
      <c r="I110" s="4">
        <v>14.9</v>
      </c>
      <c r="J110" s="5" t="s">
        <v>16</v>
      </c>
    </row>
    <row r="111" spans="1:10" x14ac:dyDescent="0.25">
      <c r="A111" s="6">
        <v>1110</v>
      </c>
      <c r="B111" s="7" t="s">
        <v>148</v>
      </c>
      <c r="C111" s="6" t="s">
        <v>20</v>
      </c>
      <c r="D111" s="8">
        <v>45774</v>
      </c>
      <c r="E111" s="6" t="s">
        <v>60</v>
      </c>
      <c r="F111" s="6" t="s">
        <v>24</v>
      </c>
      <c r="G111" s="6" t="s">
        <v>14</v>
      </c>
      <c r="H111" s="6" t="s">
        <v>15</v>
      </c>
      <c r="I111" s="9">
        <v>60</v>
      </c>
      <c r="J111" s="10" t="s">
        <v>16</v>
      </c>
    </row>
    <row r="112" spans="1:10" x14ac:dyDescent="0.25">
      <c r="A112" s="1">
        <v>1111</v>
      </c>
      <c r="B112" s="2" t="s">
        <v>149</v>
      </c>
      <c r="C112" s="1" t="s">
        <v>11</v>
      </c>
      <c r="D112" s="3">
        <v>45601</v>
      </c>
      <c r="E112" s="1" t="s">
        <v>99</v>
      </c>
      <c r="F112" s="1" t="s">
        <v>24</v>
      </c>
      <c r="G112" s="1" t="s">
        <v>14</v>
      </c>
      <c r="H112" s="1" t="s">
        <v>15</v>
      </c>
      <c r="I112" s="4">
        <v>24.5</v>
      </c>
      <c r="J112" s="5" t="s">
        <v>16</v>
      </c>
    </row>
    <row r="113" spans="1:10" x14ac:dyDescent="0.25">
      <c r="A113" s="6">
        <v>1112</v>
      </c>
      <c r="B113" s="7" t="s">
        <v>150</v>
      </c>
      <c r="C113" s="6" t="s">
        <v>62</v>
      </c>
      <c r="D113" s="8">
        <v>45587</v>
      </c>
      <c r="E113" s="6" t="s">
        <v>32</v>
      </c>
      <c r="F113" s="6" t="s">
        <v>13</v>
      </c>
      <c r="G113" s="6" t="s">
        <v>33</v>
      </c>
      <c r="H113" s="6" t="s">
        <v>25</v>
      </c>
      <c r="I113" s="9">
        <v>700</v>
      </c>
      <c r="J113" s="10" t="s">
        <v>16</v>
      </c>
    </row>
    <row r="114" spans="1:10" x14ac:dyDescent="0.25">
      <c r="A114" s="1">
        <v>1113</v>
      </c>
      <c r="B114" s="2" t="s">
        <v>151</v>
      </c>
      <c r="C114" s="1" t="s">
        <v>38</v>
      </c>
      <c r="D114" s="3">
        <v>45515</v>
      </c>
      <c r="E114" s="1" t="s">
        <v>21</v>
      </c>
      <c r="F114" s="1" t="s">
        <v>46</v>
      </c>
      <c r="G114" s="1" t="s">
        <v>33</v>
      </c>
      <c r="H114" s="1" t="s">
        <v>25</v>
      </c>
      <c r="I114" s="4">
        <v>300</v>
      </c>
      <c r="J114" s="12" t="s">
        <v>26</v>
      </c>
    </row>
    <row r="115" spans="1:10" x14ac:dyDescent="0.25">
      <c r="A115" s="6">
        <v>1114</v>
      </c>
      <c r="B115" s="7" t="s">
        <v>114</v>
      </c>
      <c r="C115" s="6" t="s">
        <v>28</v>
      </c>
      <c r="D115" s="8">
        <v>45635</v>
      </c>
      <c r="E115" s="6" t="s">
        <v>41</v>
      </c>
      <c r="F115" s="6" t="s">
        <v>13</v>
      </c>
      <c r="G115" s="6" t="s">
        <v>33</v>
      </c>
      <c r="H115" s="6" t="s">
        <v>15</v>
      </c>
      <c r="I115" s="9">
        <v>14.9</v>
      </c>
      <c r="J115" s="10" t="s">
        <v>16</v>
      </c>
    </row>
    <row r="116" spans="1:10" x14ac:dyDescent="0.25">
      <c r="A116" s="1">
        <v>1115</v>
      </c>
      <c r="B116" s="2" t="s">
        <v>152</v>
      </c>
      <c r="C116" s="1" t="s">
        <v>28</v>
      </c>
      <c r="D116" s="3">
        <v>45310</v>
      </c>
      <c r="E116" s="1" t="s">
        <v>35</v>
      </c>
      <c r="F116" s="1" t="s">
        <v>39</v>
      </c>
      <c r="G116" s="1" t="s">
        <v>14</v>
      </c>
      <c r="H116" s="1" t="s">
        <v>15</v>
      </c>
      <c r="I116" s="4">
        <v>14.9</v>
      </c>
      <c r="J116" s="5" t="s">
        <v>16</v>
      </c>
    </row>
    <row r="117" spans="1:10" x14ac:dyDescent="0.25">
      <c r="A117" s="6">
        <v>1116</v>
      </c>
      <c r="B117" s="7" t="s">
        <v>153</v>
      </c>
      <c r="C117" s="6" t="s">
        <v>62</v>
      </c>
      <c r="D117" s="8">
        <v>45714</v>
      </c>
      <c r="E117" s="6" t="s">
        <v>52</v>
      </c>
      <c r="F117" s="6" t="s">
        <v>13</v>
      </c>
      <c r="G117" s="6" t="s">
        <v>14</v>
      </c>
      <c r="H117" s="6" t="s">
        <v>25</v>
      </c>
      <c r="I117" s="9">
        <v>700</v>
      </c>
      <c r="J117" s="10" t="s">
        <v>16</v>
      </c>
    </row>
    <row r="118" spans="1:10" x14ac:dyDescent="0.25">
      <c r="A118" s="1">
        <v>1117</v>
      </c>
      <c r="B118" s="2" t="s">
        <v>135</v>
      </c>
      <c r="C118" s="1" t="s">
        <v>28</v>
      </c>
      <c r="D118" s="3">
        <v>45610</v>
      </c>
      <c r="E118" s="1" t="s">
        <v>99</v>
      </c>
      <c r="F118" s="1" t="s">
        <v>71</v>
      </c>
      <c r="G118" s="1" t="s">
        <v>14</v>
      </c>
      <c r="H118" s="1" t="s">
        <v>15</v>
      </c>
      <c r="I118" s="4">
        <v>14.9</v>
      </c>
      <c r="J118" s="5" t="s">
        <v>16</v>
      </c>
    </row>
    <row r="119" spans="1:10" x14ac:dyDescent="0.25">
      <c r="A119" s="6">
        <v>1118</v>
      </c>
      <c r="B119" s="7" t="s">
        <v>154</v>
      </c>
      <c r="C119" s="6" t="s">
        <v>28</v>
      </c>
      <c r="D119" s="8">
        <v>45516</v>
      </c>
      <c r="E119" s="6" t="s">
        <v>21</v>
      </c>
      <c r="F119" s="6" t="s">
        <v>78</v>
      </c>
      <c r="G119" s="6" t="s">
        <v>14</v>
      </c>
      <c r="H119" s="6" t="s">
        <v>15</v>
      </c>
      <c r="I119" s="9">
        <v>14.9</v>
      </c>
      <c r="J119" s="10" t="s">
        <v>16</v>
      </c>
    </row>
    <row r="120" spans="1:10" x14ac:dyDescent="0.25">
      <c r="A120" s="1">
        <v>1119</v>
      </c>
      <c r="B120" s="2" t="s">
        <v>155</v>
      </c>
      <c r="C120" s="1" t="s">
        <v>20</v>
      </c>
      <c r="D120" s="3">
        <v>45299</v>
      </c>
      <c r="E120" s="1" t="s">
        <v>35</v>
      </c>
      <c r="F120" s="1" t="s">
        <v>49</v>
      </c>
      <c r="G120" s="1" t="s">
        <v>14</v>
      </c>
      <c r="H120" s="1" t="s">
        <v>15</v>
      </c>
      <c r="I120" s="4">
        <v>60</v>
      </c>
      <c r="J120" s="5" t="s">
        <v>16</v>
      </c>
    </row>
    <row r="121" spans="1:10" x14ac:dyDescent="0.25">
      <c r="A121" s="6">
        <v>1120</v>
      </c>
      <c r="B121" s="7" t="s">
        <v>156</v>
      </c>
      <c r="C121" s="6" t="s">
        <v>11</v>
      </c>
      <c r="D121" s="8">
        <v>45547</v>
      </c>
      <c r="E121" s="6" t="s">
        <v>56</v>
      </c>
      <c r="F121" s="6" t="s">
        <v>78</v>
      </c>
      <c r="G121" s="6" t="s">
        <v>14</v>
      </c>
      <c r="H121" s="6" t="s">
        <v>25</v>
      </c>
      <c r="I121" s="9">
        <v>20.83</v>
      </c>
      <c r="J121" s="10" t="s">
        <v>16</v>
      </c>
    </row>
    <row r="122" spans="1:10" x14ac:dyDescent="0.25">
      <c r="A122" s="1">
        <v>1121</v>
      </c>
      <c r="B122" s="2" t="s">
        <v>157</v>
      </c>
      <c r="C122" s="1" t="s">
        <v>20</v>
      </c>
      <c r="D122" s="3">
        <v>45525</v>
      </c>
      <c r="E122" s="1" t="s">
        <v>21</v>
      </c>
      <c r="F122" s="1" t="s">
        <v>49</v>
      </c>
      <c r="G122" s="1" t="s">
        <v>14</v>
      </c>
      <c r="H122" s="1" t="s">
        <v>15</v>
      </c>
      <c r="I122" s="4">
        <v>60</v>
      </c>
      <c r="J122" s="5" t="s">
        <v>16</v>
      </c>
    </row>
    <row r="123" spans="1:10" x14ac:dyDescent="0.25">
      <c r="A123" s="6">
        <v>1122</v>
      </c>
      <c r="B123" s="7" t="s">
        <v>158</v>
      </c>
      <c r="C123" s="6" t="s">
        <v>38</v>
      </c>
      <c r="D123" s="8">
        <v>45466</v>
      </c>
      <c r="E123" s="6" t="s">
        <v>23</v>
      </c>
      <c r="F123" s="6" t="s">
        <v>66</v>
      </c>
      <c r="G123" s="6" t="s">
        <v>14</v>
      </c>
      <c r="H123" s="6" t="s">
        <v>25</v>
      </c>
      <c r="I123" s="9">
        <v>300</v>
      </c>
      <c r="J123" s="10" t="s">
        <v>16</v>
      </c>
    </row>
    <row r="124" spans="1:10" x14ac:dyDescent="0.25">
      <c r="A124" s="1">
        <v>1123</v>
      </c>
      <c r="B124" s="2" t="s">
        <v>159</v>
      </c>
      <c r="C124" s="1" t="s">
        <v>20</v>
      </c>
      <c r="D124" s="3">
        <v>45735</v>
      </c>
      <c r="E124" s="1" t="s">
        <v>80</v>
      </c>
      <c r="F124" s="1" t="s">
        <v>13</v>
      </c>
      <c r="G124" s="1" t="s">
        <v>14</v>
      </c>
      <c r="H124" s="1" t="s">
        <v>25</v>
      </c>
      <c r="I124" s="4">
        <v>55</v>
      </c>
      <c r="J124" s="5" t="s">
        <v>16</v>
      </c>
    </row>
    <row r="125" spans="1:10" x14ac:dyDescent="0.25">
      <c r="A125" s="6">
        <v>1124</v>
      </c>
      <c r="B125" s="7" t="s">
        <v>160</v>
      </c>
      <c r="C125" s="6" t="s">
        <v>11</v>
      </c>
      <c r="D125" s="8">
        <v>45525</v>
      </c>
      <c r="E125" s="6" t="s">
        <v>21</v>
      </c>
      <c r="F125" s="6" t="s">
        <v>24</v>
      </c>
      <c r="G125" s="6" t="s">
        <v>33</v>
      </c>
      <c r="H125" s="6" t="s">
        <v>15</v>
      </c>
      <c r="I125" s="9">
        <v>24.5</v>
      </c>
      <c r="J125" s="11" t="s">
        <v>26</v>
      </c>
    </row>
    <row r="126" spans="1:10" x14ac:dyDescent="0.25">
      <c r="A126" s="1">
        <v>1125</v>
      </c>
      <c r="B126" s="2" t="s">
        <v>161</v>
      </c>
      <c r="C126" s="1" t="s">
        <v>11</v>
      </c>
      <c r="D126" s="3">
        <v>45314</v>
      </c>
      <c r="E126" s="1" t="s">
        <v>35</v>
      </c>
      <c r="F126" s="1" t="s">
        <v>24</v>
      </c>
      <c r="G126" s="1" t="s">
        <v>14</v>
      </c>
      <c r="H126" s="1" t="s">
        <v>25</v>
      </c>
      <c r="I126" s="4">
        <v>20.83</v>
      </c>
      <c r="J126" s="5" t="s">
        <v>16</v>
      </c>
    </row>
    <row r="127" spans="1:10" x14ac:dyDescent="0.25">
      <c r="A127" s="6">
        <v>1126</v>
      </c>
      <c r="B127" s="7" t="s">
        <v>162</v>
      </c>
      <c r="C127" s="6" t="s">
        <v>11</v>
      </c>
      <c r="D127" s="8">
        <v>45545</v>
      </c>
      <c r="E127" s="6" t="s">
        <v>56</v>
      </c>
      <c r="F127" s="6" t="s">
        <v>13</v>
      </c>
      <c r="G127" s="6" t="s">
        <v>14</v>
      </c>
      <c r="H127" s="6" t="s">
        <v>25</v>
      </c>
      <c r="I127" s="9">
        <v>20.83</v>
      </c>
      <c r="J127" s="11" t="s">
        <v>26</v>
      </c>
    </row>
    <row r="128" spans="1:10" x14ac:dyDescent="0.25">
      <c r="A128" s="1">
        <v>1127</v>
      </c>
      <c r="B128" s="2" t="s">
        <v>163</v>
      </c>
      <c r="C128" s="1" t="s">
        <v>38</v>
      </c>
      <c r="D128" s="3">
        <v>45561</v>
      </c>
      <c r="E128" s="1" t="s">
        <v>56</v>
      </c>
      <c r="F128" s="1" t="s">
        <v>39</v>
      </c>
      <c r="G128" s="1" t="s">
        <v>14</v>
      </c>
      <c r="H128" s="1" t="s">
        <v>25</v>
      </c>
      <c r="I128" s="4">
        <v>300</v>
      </c>
      <c r="J128" s="5" t="s">
        <v>16</v>
      </c>
    </row>
    <row r="129" spans="1:10" x14ac:dyDescent="0.25">
      <c r="A129" s="6">
        <v>1128</v>
      </c>
      <c r="B129" s="7" t="s">
        <v>164</v>
      </c>
      <c r="C129" s="6" t="s">
        <v>28</v>
      </c>
      <c r="D129" s="8">
        <v>45611</v>
      </c>
      <c r="E129" s="6" t="s">
        <v>99</v>
      </c>
      <c r="F129" s="6" t="s">
        <v>78</v>
      </c>
      <c r="G129" s="6" t="s">
        <v>14</v>
      </c>
      <c r="H129" s="6" t="s">
        <v>15</v>
      </c>
      <c r="I129" s="9">
        <v>14.9</v>
      </c>
      <c r="J129" s="10" t="s">
        <v>16</v>
      </c>
    </row>
    <row r="130" spans="1:10" x14ac:dyDescent="0.25">
      <c r="A130" s="1">
        <v>1129</v>
      </c>
      <c r="B130" s="2" t="s">
        <v>160</v>
      </c>
      <c r="C130" s="1" t="s">
        <v>38</v>
      </c>
      <c r="D130" s="3">
        <v>45454</v>
      </c>
      <c r="E130" s="1" t="s">
        <v>23</v>
      </c>
      <c r="F130" s="1" t="s">
        <v>46</v>
      </c>
      <c r="G130" s="1" t="s">
        <v>14</v>
      </c>
      <c r="H130" s="1" t="s">
        <v>25</v>
      </c>
      <c r="I130" s="4">
        <v>300</v>
      </c>
      <c r="J130" s="5" t="s">
        <v>16</v>
      </c>
    </row>
    <row r="131" spans="1:10" x14ac:dyDescent="0.25">
      <c r="A131" s="6">
        <v>1130</v>
      </c>
      <c r="B131" s="7" t="s">
        <v>165</v>
      </c>
      <c r="C131" s="6" t="s">
        <v>11</v>
      </c>
      <c r="D131" s="8">
        <v>45408</v>
      </c>
      <c r="E131" s="6" t="s">
        <v>44</v>
      </c>
      <c r="F131" s="6" t="s">
        <v>13</v>
      </c>
      <c r="G131" s="6" t="s">
        <v>14</v>
      </c>
      <c r="H131" s="6" t="s">
        <v>15</v>
      </c>
      <c r="I131" s="9">
        <v>24.5</v>
      </c>
      <c r="J131" s="10" t="s">
        <v>16</v>
      </c>
    </row>
    <row r="132" spans="1:10" x14ac:dyDescent="0.25">
      <c r="A132" s="1">
        <v>1131</v>
      </c>
      <c r="B132" s="2" t="s">
        <v>166</v>
      </c>
      <c r="C132" s="1" t="s">
        <v>11</v>
      </c>
      <c r="D132" s="3">
        <v>45754</v>
      </c>
      <c r="E132" s="1" t="s">
        <v>60</v>
      </c>
      <c r="F132" s="1" t="s">
        <v>13</v>
      </c>
      <c r="G132" s="1" t="s">
        <v>14</v>
      </c>
      <c r="H132" s="1" t="s">
        <v>25</v>
      </c>
      <c r="I132" s="4">
        <v>20.83</v>
      </c>
      <c r="J132" s="5" t="s">
        <v>16</v>
      </c>
    </row>
    <row r="133" spans="1:10" x14ac:dyDescent="0.25">
      <c r="A133" s="6">
        <v>1132</v>
      </c>
      <c r="B133" s="7" t="s">
        <v>121</v>
      </c>
      <c r="C133" s="6" t="s">
        <v>28</v>
      </c>
      <c r="D133" s="8">
        <v>45417</v>
      </c>
      <c r="E133" s="6" t="s">
        <v>12</v>
      </c>
      <c r="F133" s="6" t="s">
        <v>66</v>
      </c>
      <c r="G133" s="6" t="s">
        <v>14</v>
      </c>
      <c r="H133" s="6" t="s">
        <v>15</v>
      </c>
      <c r="I133" s="9">
        <v>14.9</v>
      </c>
      <c r="J133" s="10" t="s">
        <v>16</v>
      </c>
    </row>
    <row r="134" spans="1:10" x14ac:dyDescent="0.25">
      <c r="A134" s="1">
        <v>1133</v>
      </c>
      <c r="B134" s="2" t="s">
        <v>167</v>
      </c>
      <c r="C134" s="1" t="s">
        <v>28</v>
      </c>
      <c r="D134" s="3">
        <v>45737</v>
      </c>
      <c r="E134" s="1" t="s">
        <v>80</v>
      </c>
      <c r="F134" s="1" t="s">
        <v>30</v>
      </c>
      <c r="G134" s="1" t="s">
        <v>14</v>
      </c>
      <c r="H134" s="1" t="s">
        <v>15</v>
      </c>
      <c r="I134" s="4">
        <v>14.9</v>
      </c>
      <c r="J134" s="5" t="s">
        <v>16</v>
      </c>
    </row>
    <row r="135" spans="1:10" x14ac:dyDescent="0.25">
      <c r="A135" s="6">
        <v>1134</v>
      </c>
      <c r="B135" s="7" t="s">
        <v>89</v>
      </c>
      <c r="C135" s="6" t="s">
        <v>28</v>
      </c>
      <c r="D135" s="8">
        <v>45527</v>
      </c>
      <c r="E135" s="6" t="s">
        <v>21</v>
      </c>
      <c r="F135" s="6" t="s">
        <v>24</v>
      </c>
      <c r="G135" s="6" t="s">
        <v>14</v>
      </c>
      <c r="H135" s="6" t="s">
        <v>15</v>
      </c>
      <c r="I135" s="9">
        <v>14.9</v>
      </c>
      <c r="J135" s="11" t="s">
        <v>26</v>
      </c>
    </row>
    <row r="136" spans="1:10" x14ac:dyDescent="0.25">
      <c r="A136" s="1">
        <v>1135</v>
      </c>
      <c r="B136" s="2" t="s">
        <v>168</v>
      </c>
      <c r="C136" s="1" t="s">
        <v>38</v>
      </c>
      <c r="D136" s="3">
        <v>45372</v>
      </c>
      <c r="E136" s="1" t="s">
        <v>63</v>
      </c>
      <c r="F136" s="1" t="s">
        <v>13</v>
      </c>
      <c r="G136" s="1" t="s">
        <v>14</v>
      </c>
      <c r="H136" s="1" t="s">
        <v>25</v>
      </c>
      <c r="I136" s="4">
        <v>300</v>
      </c>
      <c r="J136" s="5" t="s">
        <v>16</v>
      </c>
    </row>
    <row r="137" spans="1:10" x14ac:dyDescent="0.25">
      <c r="A137" s="6">
        <v>1136</v>
      </c>
      <c r="B137" s="7" t="s">
        <v>90</v>
      </c>
      <c r="C137" s="6" t="s">
        <v>11</v>
      </c>
      <c r="D137" s="8">
        <v>45525</v>
      </c>
      <c r="E137" s="6" t="s">
        <v>21</v>
      </c>
      <c r="F137" s="6" t="s">
        <v>24</v>
      </c>
      <c r="G137" s="6" t="s">
        <v>14</v>
      </c>
      <c r="H137" s="6" t="s">
        <v>25</v>
      </c>
      <c r="I137" s="9">
        <v>20.83</v>
      </c>
      <c r="J137" s="10" t="s">
        <v>16</v>
      </c>
    </row>
    <row r="138" spans="1:10" x14ac:dyDescent="0.25">
      <c r="A138" s="1">
        <v>1137</v>
      </c>
      <c r="B138" s="2" t="s">
        <v>169</v>
      </c>
      <c r="C138" s="1" t="s">
        <v>28</v>
      </c>
      <c r="D138" s="3">
        <v>45475</v>
      </c>
      <c r="E138" s="1" t="s">
        <v>29</v>
      </c>
      <c r="F138" s="1" t="s">
        <v>68</v>
      </c>
      <c r="G138" s="1" t="s">
        <v>14</v>
      </c>
      <c r="H138" s="1" t="s">
        <v>15</v>
      </c>
      <c r="I138" s="4">
        <v>14.9</v>
      </c>
      <c r="J138" s="5" t="s">
        <v>16</v>
      </c>
    </row>
    <row r="139" spans="1:10" x14ac:dyDescent="0.25">
      <c r="A139" s="6">
        <v>1138</v>
      </c>
      <c r="B139" s="7" t="s">
        <v>170</v>
      </c>
      <c r="C139" s="6" t="s">
        <v>62</v>
      </c>
      <c r="D139" s="8">
        <v>45432</v>
      </c>
      <c r="E139" s="6" t="s">
        <v>12</v>
      </c>
      <c r="F139" s="6" t="s">
        <v>13</v>
      </c>
      <c r="G139" s="6" t="s">
        <v>14</v>
      </c>
      <c r="H139" s="6" t="s">
        <v>25</v>
      </c>
      <c r="I139" s="9">
        <v>700</v>
      </c>
      <c r="J139" s="10" t="s">
        <v>16</v>
      </c>
    </row>
    <row r="140" spans="1:10" x14ac:dyDescent="0.25">
      <c r="A140" s="1">
        <v>1139</v>
      </c>
      <c r="B140" s="2" t="s">
        <v>112</v>
      </c>
      <c r="C140" s="1" t="s">
        <v>38</v>
      </c>
      <c r="D140" s="3">
        <v>45718</v>
      </c>
      <c r="E140" s="1" t="s">
        <v>80</v>
      </c>
      <c r="F140" s="1" t="s">
        <v>24</v>
      </c>
      <c r="G140" s="1" t="s">
        <v>33</v>
      </c>
      <c r="H140" s="1" t="s">
        <v>25</v>
      </c>
      <c r="I140" s="4">
        <v>300</v>
      </c>
      <c r="J140" s="5" t="s">
        <v>16</v>
      </c>
    </row>
    <row r="141" spans="1:10" x14ac:dyDescent="0.25">
      <c r="A141" s="6">
        <v>1140</v>
      </c>
      <c r="B141" s="7" t="s">
        <v>171</v>
      </c>
      <c r="C141" s="6" t="s">
        <v>28</v>
      </c>
      <c r="D141" s="8">
        <v>45420</v>
      </c>
      <c r="E141" s="6" t="s">
        <v>12</v>
      </c>
      <c r="F141" s="6" t="s">
        <v>36</v>
      </c>
      <c r="G141" s="6" t="s">
        <v>14</v>
      </c>
      <c r="H141" s="6" t="s">
        <v>15</v>
      </c>
      <c r="I141" s="9">
        <v>14.9</v>
      </c>
      <c r="J141" s="10" t="s">
        <v>16</v>
      </c>
    </row>
    <row r="142" spans="1:10" x14ac:dyDescent="0.25">
      <c r="A142" s="1">
        <v>1141</v>
      </c>
      <c r="B142" s="2" t="s">
        <v>172</v>
      </c>
      <c r="C142" s="1" t="s">
        <v>11</v>
      </c>
      <c r="D142" s="3">
        <v>45450</v>
      </c>
      <c r="E142" s="1" t="s">
        <v>23</v>
      </c>
      <c r="F142" s="1" t="s">
        <v>39</v>
      </c>
      <c r="G142" s="1" t="s">
        <v>14</v>
      </c>
      <c r="H142" s="1" t="s">
        <v>15</v>
      </c>
      <c r="I142" s="4">
        <v>24.5</v>
      </c>
      <c r="J142" s="5" t="s">
        <v>16</v>
      </c>
    </row>
    <row r="143" spans="1:10" x14ac:dyDescent="0.25">
      <c r="A143" s="6">
        <v>1142</v>
      </c>
      <c r="B143" s="7" t="s">
        <v>173</v>
      </c>
      <c r="C143" s="6" t="s">
        <v>28</v>
      </c>
      <c r="D143" s="8">
        <v>45674</v>
      </c>
      <c r="E143" s="6" t="s">
        <v>48</v>
      </c>
      <c r="F143" s="6" t="s">
        <v>30</v>
      </c>
      <c r="G143" s="6" t="s">
        <v>14</v>
      </c>
      <c r="H143" s="6" t="s">
        <v>15</v>
      </c>
      <c r="I143" s="9">
        <v>14.9</v>
      </c>
      <c r="J143" s="10" t="s">
        <v>16</v>
      </c>
    </row>
    <row r="144" spans="1:10" x14ac:dyDescent="0.25">
      <c r="A144" s="1">
        <v>1143</v>
      </c>
      <c r="B144" s="2" t="s">
        <v>174</v>
      </c>
      <c r="C144" s="1" t="s">
        <v>11</v>
      </c>
      <c r="D144" s="3">
        <v>45423</v>
      </c>
      <c r="E144" s="1" t="s">
        <v>12</v>
      </c>
      <c r="F144" s="1" t="s">
        <v>71</v>
      </c>
      <c r="G144" s="1" t="s">
        <v>33</v>
      </c>
      <c r="H144" s="1" t="s">
        <v>25</v>
      </c>
      <c r="I144" s="4">
        <v>20.83</v>
      </c>
      <c r="J144" s="5" t="s">
        <v>16</v>
      </c>
    </row>
    <row r="145" spans="1:10" x14ac:dyDescent="0.25">
      <c r="A145" s="6">
        <v>1144</v>
      </c>
      <c r="B145" s="7" t="s">
        <v>175</v>
      </c>
      <c r="C145" s="6" t="s">
        <v>20</v>
      </c>
      <c r="D145" s="8">
        <v>45364</v>
      </c>
      <c r="E145" s="6" t="s">
        <v>63</v>
      </c>
      <c r="F145" s="6" t="s">
        <v>13</v>
      </c>
      <c r="G145" s="6" t="s">
        <v>33</v>
      </c>
      <c r="H145" s="6" t="s">
        <v>25</v>
      </c>
      <c r="I145" s="9">
        <v>55</v>
      </c>
      <c r="J145" s="10" t="s">
        <v>16</v>
      </c>
    </row>
    <row r="146" spans="1:10" x14ac:dyDescent="0.25">
      <c r="A146" s="1">
        <v>1145</v>
      </c>
      <c r="B146" s="2" t="s">
        <v>176</v>
      </c>
      <c r="C146" s="1" t="s">
        <v>62</v>
      </c>
      <c r="D146" s="3">
        <v>45338</v>
      </c>
      <c r="E146" s="1" t="s">
        <v>18</v>
      </c>
      <c r="F146" s="1" t="s">
        <v>30</v>
      </c>
      <c r="G146" s="1" t="s">
        <v>14</v>
      </c>
      <c r="H146" s="1" t="s">
        <v>25</v>
      </c>
      <c r="I146" s="4">
        <v>700</v>
      </c>
      <c r="J146" s="5" t="s">
        <v>16</v>
      </c>
    </row>
    <row r="147" spans="1:10" x14ac:dyDescent="0.25">
      <c r="A147" s="6">
        <v>1146</v>
      </c>
      <c r="B147" s="7" t="s">
        <v>177</v>
      </c>
      <c r="C147" s="6" t="s">
        <v>28</v>
      </c>
      <c r="D147" s="8">
        <v>45591</v>
      </c>
      <c r="E147" s="6" t="s">
        <v>32</v>
      </c>
      <c r="F147" s="6" t="s">
        <v>30</v>
      </c>
      <c r="G147" s="6" t="s">
        <v>33</v>
      </c>
      <c r="H147" s="6" t="s">
        <v>15</v>
      </c>
      <c r="I147" s="9">
        <v>14.9</v>
      </c>
      <c r="J147" s="11" t="s">
        <v>26</v>
      </c>
    </row>
    <row r="148" spans="1:10" x14ac:dyDescent="0.25">
      <c r="A148" s="1">
        <v>1147</v>
      </c>
      <c r="B148" s="2" t="s">
        <v>178</v>
      </c>
      <c r="C148" s="1" t="s">
        <v>20</v>
      </c>
      <c r="D148" s="3">
        <v>45609</v>
      </c>
      <c r="E148" s="1" t="s">
        <v>99</v>
      </c>
      <c r="F148" s="1" t="s">
        <v>49</v>
      </c>
      <c r="G148" s="1" t="s">
        <v>14</v>
      </c>
      <c r="H148" s="1" t="s">
        <v>15</v>
      </c>
      <c r="I148" s="4">
        <v>60</v>
      </c>
      <c r="J148" s="5" t="s">
        <v>16</v>
      </c>
    </row>
    <row r="149" spans="1:10" x14ac:dyDescent="0.25">
      <c r="A149" s="6">
        <v>1148</v>
      </c>
      <c r="B149" s="7" t="s">
        <v>179</v>
      </c>
      <c r="C149" s="6" t="s">
        <v>11</v>
      </c>
      <c r="D149" s="8">
        <v>45624</v>
      </c>
      <c r="E149" s="6" t="s">
        <v>99</v>
      </c>
      <c r="F149" s="6" t="s">
        <v>30</v>
      </c>
      <c r="G149" s="6" t="s">
        <v>14</v>
      </c>
      <c r="H149" s="6" t="s">
        <v>15</v>
      </c>
      <c r="I149" s="9">
        <v>24.5</v>
      </c>
      <c r="J149" s="10" t="s">
        <v>16</v>
      </c>
    </row>
    <row r="150" spans="1:10" x14ac:dyDescent="0.25">
      <c r="A150" s="1">
        <v>1149</v>
      </c>
      <c r="B150" s="2" t="s">
        <v>180</v>
      </c>
      <c r="C150" s="1" t="s">
        <v>28</v>
      </c>
      <c r="D150" s="3">
        <v>45341</v>
      </c>
      <c r="E150" s="1" t="s">
        <v>18</v>
      </c>
      <c r="F150" s="1" t="s">
        <v>13</v>
      </c>
      <c r="G150" s="1" t="s">
        <v>33</v>
      </c>
      <c r="H150" s="1" t="s">
        <v>15</v>
      </c>
      <c r="I150" s="4">
        <v>14.9</v>
      </c>
      <c r="J150" s="5" t="s">
        <v>16</v>
      </c>
    </row>
    <row r="151" spans="1:10" x14ac:dyDescent="0.25">
      <c r="A151" s="6">
        <v>1150</v>
      </c>
      <c r="B151" s="7" t="s">
        <v>118</v>
      </c>
      <c r="C151" s="6" t="s">
        <v>28</v>
      </c>
      <c r="D151" s="8">
        <v>45506</v>
      </c>
      <c r="E151" s="6" t="s">
        <v>21</v>
      </c>
      <c r="F151" s="6" t="s">
        <v>68</v>
      </c>
      <c r="G151" s="6" t="s">
        <v>14</v>
      </c>
      <c r="H151" s="6" t="s">
        <v>15</v>
      </c>
      <c r="I151" s="9">
        <v>14.9</v>
      </c>
      <c r="J151" s="10" t="s">
        <v>16</v>
      </c>
    </row>
    <row r="152" spans="1:10" x14ac:dyDescent="0.25">
      <c r="A152" s="1">
        <v>1151</v>
      </c>
      <c r="B152" s="2" t="s">
        <v>181</v>
      </c>
      <c r="C152" s="1" t="s">
        <v>11</v>
      </c>
      <c r="D152" s="3">
        <v>45500</v>
      </c>
      <c r="E152" s="1" t="s">
        <v>29</v>
      </c>
      <c r="F152" s="1" t="s">
        <v>24</v>
      </c>
      <c r="G152" s="1" t="s">
        <v>14</v>
      </c>
      <c r="H152" s="1" t="s">
        <v>25</v>
      </c>
      <c r="I152" s="4">
        <v>20.83</v>
      </c>
      <c r="J152" s="5" t="s">
        <v>16</v>
      </c>
    </row>
    <row r="153" spans="1:10" x14ac:dyDescent="0.25">
      <c r="A153" s="6">
        <v>1152</v>
      </c>
      <c r="B153" s="7" t="s">
        <v>182</v>
      </c>
      <c r="C153" s="6" t="s">
        <v>11</v>
      </c>
      <c r="D153" s="8">
        <v>45342</v>
      </c>
      <c r="E153" s="6" t="s">
        <v>18</v>
      </c>
      <c r="F153" s="6" t="s">
        <v>36</v>
      </c>
      <c r="G153" s="6" t="s">
        <v>14</v>
      </c>
      <c r="H153" s="6" t="s">
        <v>25</v>
      </c>
      <c r="I153" s="9">
        <v>20.83</v>
      </c>
      <c r="J153" s="11" t="s">
        <v>26</v>
      </c>
    </row>
    <row r="154" spans="1:10" x14ac:dyDescent="0.25">
      <c r="A154" s="1">
        <v>1153</v>
      </c>
      <c r="B154" s="2" t="s">
        <v>183</v>
      </c>
      <c r="C154" s="1" t="s">
        <v>28</v>
      </c>
      <c r="D154" s="3">
        <v>45354</v>
      </c>
      <c r="E154" s="1" t="s">
        <v>63</v>
      </c>
      <c r="F154" s="1" t="s">
        <v>39</v>
      </c>
      <c r="G154" s="1" t="s">
        <v>14</v>
      </c>
      <c r="H154" s="1" t="s">
        <v>15</v>
      </c>
      <c r="I154" s="4">
        <v>14.9</v>
      </c>
      <c r="J154" s="5" t="s">
        <v>16</v>
      </c>
    </row>
    <row r="155" spans="1:10" x14ac:dyDescent="0.25">
      <c r="A155" s="6">
        <v>1154</v>
      </c>
      <c r="B155" s="7" t="s">
        <v>184</v>
      </c>
      <c r="C155" s="6" t="s">
        <v>28</v>
      </c>
      <c r="D155" s="8">
        <v>45356</v>
      </c>
      <c r="E155" s="6" t="s">
        <v>63</v>
      </c>
      <c r="F155" s="6" t="s">
        <v>68</v>
      </c>
      <c r="G155" s="6" t="s">
        <v>14</v>
      </c>
      <c r="H155" s="6" t="s">
        <v>15</v>
      </c>
      <c r="I155" s="9">
        <v>14.9</v>
      </c>
      <c r="J155" s="10" t="s">
        <v>16</v>
      </c>
    </row>
    <row r="156" spans="1:10" x14ac:dyDescent="0.25">
      <c r="A156" s="1">
        <v>1155</v>
      </c>
      <c r="B156" s="2" t="s">
        <v>185</v>
      </c>
      <c r="C156" s="1" t="s">
        <v>11</v>
      </c>
      <c r="D156" s="3">
        <v>45688</v>
      </c>
      <c r="E156" s="1" t="s">
        <v>48</v>
      </c>
      <c r="F156" s="1" t="s">
        <v>13</v>
      </c>
      <c r="G156" s="1" t="s">
        <v>33</v>
      </c>
      <c r="H156" s="1" t="s">
        <v>25</v>
      </c>
      <c r="I156" s="4">
        <v>20.83</v>
      </c>
      <c r="J156" s="5" t="s">
        <v>16</v>
      </c>
    </row>
    <row r="157" spans="1:10" x14ac:dyDescent="0.25">
      <c r="A157" s="6">
        <v>1156</v>
      </c>
      <c r="B157" s="7" t="s">
        <v>186</v>
      </c>
      <c r="C157" s="6" t="s">
        <v>38</v>
      </c>
      <c r="D157" s="8">
        <v>45568</v>
      </c>
      <c r="E157" s="6" t="s">
        <v>32</v>
      </c>
      <c r="F157" s="6" t="s">
        <v>24</v>
      </c>
      <c r="G157" s="6" t="s">
        <v>33</v>
      </c>
      <c r="H157" s="6" t="s">
        <v>25</v>
      </c>
      <c r="I157" s="9">
        <v>300</v>
      </c>
      <c r="J157" s="10" t="s">
        <v>16</v>
      </c>
    </row>
    <row r="158" spans="1:10" x14ac:dyDescent="0.25">
      <c r="A158" s="1">
        <v>1157</v>
      </c>
      <c r="B158" s="2" t="s">
        <v>187</v>
      </c>
      <c r="C158" s="1" t="s">
        <v>28</v>
      </c>
      <c r="D158" s="3">
        <v>45593</v>
      </c>
      <c r="E158" s="1" t="s">
        <v>32</v>
      </c>
      <c r="F158" s="1" t="s">
        <v>24</v>
      </c>
      <c r="G158" s="1" t="s">
        <v>14</v>
      </c>
      <c r="H158" s="1" t="s">
        <v>15</v>
      </c>
      <c r="I158" s="4">
        <v>14.9</v>
      </c>
      <c r="J158" s="5" t="s">
        <v>16</v>
      </c>
    </row>
    <row r="159" spans="1:10" x14ac:dyDescent="0.25">
      <c r="A159" s="6">
        <v>1158</v>
      </c>
      <c r="B159" s="7" t="s">
        <v>188</v>
      </c>
      <c r="C159" s="6" t="s">
        <v>20</v>
      </c>
      <c r="D159" s="8">
        <v>45673</v>
      </c>
      <c r="E159" s="6" t="s">
        <v>48</v>
      </c>
      <c r="F159" s="6" t="s">
        <v>13</v>
      </c>
      <c r="G159" s="6" t="s">
        <v>14</v>
      </c>
      <c r="H159" s="6" t="s">
        <v>15</v>
      </c>
      <c r="I159" s="9">
        <v>60</v>
      </c>
      <c r="J159" s="10" t="s">
        <v>16</v>
      </c>
    </row>
    <row r="160" spans="1:10" x14ac:dyDescent="0.25">
      <c r="A160" s="1">
        <v>1159</v>
      </c>
      <c r="B160" s="2" t="s">
        <v>189</v>
      </c>
      <c r="C160" s="1" t="s">
        <v>11</v>
      </c>
      <c r="D160" s="3">
        <v>45314</v>
      </c>
      <c r="E160" s="1" t="s">
        <v>35</v>
      </c>
      <c r="F160" s="1" t="s">
        <v>36</v>
      </c>
      <c r="G160" s="1" t="s">
        <v>14</v>
      </c>
      <c r="H160" s="1" t="s">
        <v>15</v>
      </c>
      <c r="I160" s="4">
        <v>24.5</v>
      </c>
      <c r="J160" s="5" t="s">
        <v>16</v>
      </c>
    </row>
    <row r="161" spans="1:10" x14ac:dyDescent="0.25">
      <c r="A161" s="6">
        <v>1160</v>
      </c>
      <c r="B161" s="7" t="s">
        <v>190</v>
      </c>
      <c r="C161" s="6" t="s">
        <v>28</v>
      </c>
      <c r="D161" s="8">
        <v>45510</v>
      </c>
      <c r="E161" s="6" t="s">
        <v>21</v>
      </c>
      <c r="F161" s="6" t="s">
        <v>36</v>
      </c>
      <c r="G161" s="6" t="s">
        <v>14</v>
      </c>
      <c r="H161" s="6" t="s">
        <v>15</v>
      </c>
      <c r="I161" s="9">
        <v>14.9</v>
      </c>
      <c r="J161" s="10" t="s">
        <v>16</v>
      </c>
    </row>
    <row r="162" spans="1:10" x14ac:dyDescent="0.25">
      <c r="A162" s="1">
        <v>1161</v>
      </c>
      <c r="B162" s="2" t="s">
        <v>191</v>
      </c>
      <c r="C162" s="1" t="s">
        <v>28</v>
      </c>
      <c r="D162" s="3">
        <v>45603</v>
      </c>
      <c r="E162" s="1" t="s">
        <v>99</v>
      </c>
      <c r="F162" s="1" t="s">
        <v>13</v>
      </c>
      <c r="G162" s="1" t="s">
        <v>14</v>
      </c>
      <c r="H162" s="1" t="s">
        <v>15</v>
      </c>
      <c r="I162" s="4">
        <v>14.9</v>
      </c>
      <c r="J162" s="5" t="s">
        <v>16</v>
      </c>
    </row>
    <row r="163" spans="1:10" x14ac:dyDescent="0.25">
      <c r="A163" s="6">
        <v>1162</v>
      </c>
      <c r="B163" s="7" t="s">
        <v>192</v>
      </c>
      <c r="C163" s="6" t="s">
        <v>11</v>
      </c>
      <c r="D163" s="8">
        <v>45442</v>
      </c>
      <c r="E163" s="6" t="s">
        <v>12</v>
      </c>
      <c r="F163" s="6" t="s">
        <v>39</v>
      </c>
      <c r="G163" s="6" t="s">
        <v>14</v>
      </c>
      <c r="H163" s="6" t="s">
        <v>15</v>
      </c>
      <c r="I163" s="9">
        <v>24.5</v>
      </c>
      <c r="J163" s="10" t="s">
        <v>16</v>
      </c>
    </row>
    <row r="164" spans="1:10" x14ac:dyDescent="0.25">
      <c r="A164" s="1">
        <v>1163</v>
      </c>
      <c r="B164" s="2" t="s">
        <v>193</v>
      </c>
      <c r="C164" s="1" t="s">
        <v>38</v>
      </c>
      <c r="D164" s="3">
        <v>45661</v>
      </c>
      <c r="E164" s="1" t="s">
        <v>48</v>
      </c>
      <c r="F164" s="1" t="s">
        <v>13</v>
      </c>
      <c r="G164" s="1" t="s">
        <v>14</v>
      </c>
      <c r="H164" s="1" t="s">
        <v>25</v>
      </c>
      <c r="I164" s="4">
        <v>300</v>
      </c>
      <c r="J164" s="12" t="s">
        <v>26</v>
      </c>
    </row>
    <row r="165" spans="1:10" x14ac:dyDescent="0.25">
      <c r="A165" s="6">
        <v>1164</v>
      </c>
      <c r="B165" s="7" t="s">
        <v>194</v>
      </c>
      <c r="C165" s="6" t="s">
        <v>28</v>
      </c>
      <c r="D165" s="8">
        <v>45504</v>
      </c>
      <c r="E165" s="6" t="s">
        <v>29</v>
      </c>
      <c r="F165" s="6" t="s">
        <v>13</v>
      </c>
      <c r="G165" s="6" t="s">
        <v>14</v>
      </c>
      <c r="H165" s="6" t="s">
        <v>15</v>
      </c>
      <c r="I165" s="9">
        <v>14.9</v>
      </c>
      <c r="J165" s="10" t="s">
        <v>16</v>
      </c>
    </row>
    <row r="166" spans="1:10" x14ac:dyDescent="0.25">
      <c r="A166" s="1">
        <v>1165</v>
      </c>
      <c r="B166" s="2" t="s">
        <v>195</v>
      </c>
      <c r="C166" s="1" t="s">
        <v>28</v>
      </c>
      <c r="D166" s="3">
        <v>45326</v>
      </c>
      <c r="E166" s="1" t="s">
        <v>18</v>
      </c>
      <c r="F166" s="1" t="s">
        <v>13</v>
      </c>
      <c r="G166" s="1" t="s">
        <v>33</v>
      </c>
      <c r="H166" s="1" t="s">
        <v>15</v>
      </c>
      <c r="I166" s="4">
        <v>14.9</v>
      </c>
      <c r="J166" s="5" t="s">
        <v>16</v>
      </c>
    </row>
    <row r="167" spans="1:10" x14ac:dyDescent="0.25">
      <c r="A167" s="6">
        <v>1166</v>
      </c>
      <c r="B167" s="7" t="s">
        <v>196</v>
      </c>
      <c r="C167" s="6" t="s">
        <v>20</v>
      </c>
      <c r="D167" s="8">
        <v>45576</v>
      </c>
      <c r="E167" s="6" t="s">
        <v>32</v>
      </c>
      <c r="F167" s="6" t="s">
        <v>13</v>
      </c>
      <c r="G167" s="6" t="s">
        <v>14</v>
      </c>
      <c r="H167" s="6" t="s">
        <v>25</v>
      </c>
      <c r="I167" s="9">
        <v>55</v>
      </c>
      <c r="J167" s="10" t="s">
        <v>16</v>
      </c>
    </row>
    <row r="168" spans="1:10" x14ac:dyDescent="0.25">
      <c r="A168" s="1">
        <v>1167</v>
      </c>
      <c r="B168" s="2" t="s">
        <v>197</v>
      </c>
      <c r="C168" s="1" t="s">
        <v>20</v>
      </c>
      <c r="D168" s="3">
        <v>45739</v>
      </c>
      <c r="E168" s="1" t="s">
        <v>80</v>
      </c>
      <c r="F168" s="1" t="s">
        <v>36</v>
      </c>
      <c r="G168" s="1" t="s">
        <v>33</v>
      </c>
      <c r="H168" s="1" t="s">
        <v>15</v>
      </c>
      <c r="I168" s="4">
        <v>60</v>
      </c>
      <c r="J168" s="5" t="s">
        <v>16</v>
      </c>
    </row>
    <row r="169" spans="1:10" x14ac:dyDescent="0.25">
      <c r="A169" s="6">
        <v>1168</v>
      </c>
      <c r="B169" s="7" t="s">
        <v>198</v>
      </c>
      <c r="C169" s="6" t="s">
        <v>62</v>
      </c>
      <c r="D169" s="8">
        <v>45472</v>
      </c>
      <c r="E169" s="6" t="s">
        <v>23</v>
      </c>
      <c r="F169" s="6" t="s">
        <v>13</v>
      </c>
      <c r="G169" s="6" t="s">
        <v>14</v>
      </c>
      <c r="H169" s="6" t="s">
        <v>25</v>
      </c>
      <c r="I169" s="9">
        <v>700</v>
      </c>
      <c r="J169" s="10" t="s">
        <v>16</v>
      </c>
    </row>
    <row r="170" spans="1:10" x14ac:dyDescent="0.25">
      <c r="A170" s="1">
        <v>1169</v>
      </c>
      <c r="B170" s="2" t="s">
        <v>199</v>
      </c>
      <c r="C170" s="1" t="s">
        <v>28</v>
      </c>
      <c r="D170" s="3">
        <v>45724</v>
      </c>
      <c r="E170" s="1" t="s">
        <v>80</v>
      </c>
      <c r="F170" s="1" t="s">
        <v>49</v>
      </c>
      <c r="G170" s="1" t="s">
        <v>14</v>
      </c>
      <c r="H170" s="1" t="s">
        <v>15</v>
      </c>
      <c r="I170" s="4">
        <v>14.9</v>
      </c>
      <c r="J170" s="5" t="s">
        <v>16</v>
      </c>
    </row>
    <row r="171" spans="1:10" x14ac:dyDescent="0.25">
      <c r="A171" s="6">
        <v>1170</v>
      </c>
      <c r="B171" s="7" t="s">
        <v>200</v>
      </c>
      <c r="C171" s="6" t="s">
        <v>20</v>
      </c>
      <c r="D171" s="8">
        <v>45606</v>
      </c>
      <c r="E171" s="6" t="s">
        <v>99</v>
      </c>
      <c r="F171" s="6" t="s">
        <v>36</v>
      </c>
      <c r="G171" s="6" t="s">
        <v>14</v>
      </c>
      <c r="H171" s="6" t="s">
        <v>25</v>
      </c>
      <c r="I171" s="9">
        <v>55</v>
      </c>
      <c r="J171" s="10" t="s">
        <v>16</v>
      </c>
    </row>
    <row r="172" spans="1:10" x14ac:dyDescent="0.25">
      <c r="A172" s="1">
        <v>1171</v>
      </c>
      <c r="B172" s="2" t="s">
        <v>201</v>
      </c>
      <c r="C172" s="1" t="s">
        <v>28</v>
      </c>
      <c r="D172" s="3">
        <v>45763</v>
      </c>
      <c r="E172" s="1" t="s">
        <v>60</v>
      </c>
      <c r="F172" s="1" t="s">
        <v>24</v>
      </c>
      <c r="G172" s="1" t="s">
        <v>14</v>
      </c>
      <c r="H172" s="1" t="s">
        <v>15</v>
      </c>
      <c r="I172" s="4">
        <v>14.9</v>
      </c>
      <c r="J172" s="5" t="s">
        <v>16</v>
      </c>
    </row>
    <row r="173" spans="1:10" x14ac:dyDescent="0.25">
      <c r="A173" s="6">
        <v>1172</v>
      </c>
      <c r="B173" s="7" t="s">
        <v>202</v>
      </c>
      <c r="C173" s="6" t="s">
        <v>11</v>
      </c>
      <c r="D173" s="8">
        <v>45364</v>
      </c>
      <c r="E173" s="6" t="s">
        <v>63</v>
      </c>
      <c r="F173" s="6" t="s">
        <v>46</v>
      </c>
      <c r="G173" s="6" t="s">
        <v>33</v>
      </c>
      <c r="H173" s="6" t="s">
        <v>15</v>
      </c>
      <c r="I173" s="9">
        <v>24.5</v>
      </c>
      <c r="J173" s="10" t="s">
        <v>16</v>
      </c>
    </row>
    <row r="174" spans="1:10" x14ac:dyDescent="0.25">
      <c r="A174" s="1">
        <v>1173</v>
      </c>
      <c r="B174" s="2" t="s">
        <v>203</v>
      </c>
      <c r="C174" s="1" t="s">
        <v>28</v>
      </c>
      <c r="D174" s="3">
        <v>45372</v>
      </c>
      <c r="E174" s="1" t="s">
        <v>63</v>
      </c>
      <c r="F174" s="1" t="s">
        <v>30</v>
      </c>
      <c r="G174" s="1" t="s">
        <v>14</v>
      </c>
      <c r="H174" s="1" t="s">
        <v>15</v>
      </c>
      <c r="I174" s="4">
        <v>14.9</v>
      </c>
      <c r="J174" s="5" t="s">
        <v>16</v>
      </c>
    </row>
    <row r="175" spans="1:10" x14ac:dyDescent="0.25">
      <c r="A175" s="6">
        <v>1174</v>
      </c>
      <c r="B175" s="7" t="s">
        <v>51</v>
      </c>
      <c r="C175" s="6" t="s">
        <v>38</v>
      </c>
      <c r="D175" s="8">
        <v>45678</v>
      </c>
      <c r="E175" s="6" t="s">
        <v>48</v>
      </c>
      <c r="F175" s="6" t="s">
        <v>82</v>
      </c>
      <c r="G175" s="6" t="s">
        <v>14</v>
      </c>
      <c r="H175" s="6" t="s">
        <v>25</v>
      </c>
      <c r="I175" s="9">
        <v>300</v>
      </c>
      <c r="J175" s="10" t="s">
        <v>16</v>
      </c>
    </row>
    <row r="176" spans="1:10" x14ac:dyDescent="0.25">
      <c r="A176" s="1">
        <v>1175</v>
      </c>
      <c r="B176" s="2" t="s">
        <v>181</v>
      </c>
      <c r="C176" s="1" t="s">
        <v>20</v>
      </c>
      <c r="D176" s="3">
        <v>45518</v>
      </c>
      <c r="E176" s="1" t="s">
        <v>21</v>
      </c>
      <c r="F176" s="1" t="s">
        <v>30</v>
      </c>
      <c r="G176" s="1" t="s">
        <v>14</v>
      </c>
      <c r="H176" s="1" t="s">
        <v>15</v>
      </c>
      <c r="I176" s="4">
        <v>60</v>
      </c>
      <c r="J176" s="5" t="s">
        <v>16</v>
      </c>
    </row>
    <row r="177" spans="1:10" x14ac:dyDescent="0.25">
      <c r="A177" s="6">
        <v>1176</v>
      </c>
      <c r="B177" s="7" t="s">
        <v>204</v>
      </c>
      <c r="C177" s="6" t="s">
        <v>28</v>
      </c>
      <c r="D177" s="8">
        <v>45639</v>
      </c>
      <c r="E177" s="6" t="s">
        <v>41</v>
      </c>
      <c r="F177" s="6" t="s">
        <v>36</v>
      </c>
      <c r="G177" s="6" t="s">
        <v>14</v>
      </c>
      <c r="H177" s="6" t="s">
        <v>15</v>
      </c>
      <c r="I177" s="9">
        <v>14.9</v>
      </c>
      <c r="J177" s="10" t="s">
        <v>16</v>
      </c>
    </row>
    <row r="178" spans="1:10" x14ac:dyDescent="0.25">
      <c r="A178" s="1">
        <v>1177</v>
      </c>
      <c r="B178" s="2" t="s">
        <v>205</v>
      </c>
      <c r="C178" s="1" t="s">
        <v>28</v>
      </c>
      <c r="D178" s="3">
        <v>45320</v>
      </c>
      <c r="E178" s="1" t="s">
        <v>35</v>
      </c>
      <c r="F178" s="1" t="s">
        <v>13</v>
      </c>
      <c r="G178" s="1" t="s">
        <v>14</v>
      </c>
      <c r="H178" s="1" t="s">
        <v>15</v>
      </c>
      <c r="I178" s="4">
        <v>14.9</v>
      </c>
      <c r="J178" s="12" t="s">
        <v>26</v>
      </c>
    </row>
    <row r="179" spans="1:10" x14ac:dyDescent="0.25">
      <c r="A179" s="6">
        <v>1178</v>
      </c>
      <c r="B179" s="7" t="s">
        <v>173</v>
      </c>
      <c r="C179" s="6" t="s">
        <v>20</v>
      </c>
      <c r="D179" s="8">
        <v>45353</v>
      </c>
      <c r="E179" s="6" t="s">
        <v>63</v>
      </c>
      <c r="F179" s="6" t="s">
        <v>13</v>
      </c>
      <c r="G179" s="6" t="s">
        <v>14</v>
      </c>
      <c r="H179" s="6" t="s">
        <v>15</v>
      </c>
      <c r="I179" s="9">
        <v>60</v>
      </c>
      <c r="J179" s="10" t="s">
        <v>16</v>
      </c>
    </row>
    <row r="180" spans="1:10" x14ac:dyDescent="0.25">
      <c r="A180" s="1">
        <v>1179</v>
      </c>
      <c r="B180" s="2" t="s">
        <v>206</v>
      </c>
      <c r="C180" s="1" t="s">
        <v>11</v>
      </c>
      <c r="D180" s="3">
        <v>45548</v>
      </c>
      <c r="E180" s="1" t="s">
        <v>56</v>
      </c>
      <c r="F180" s="1" t="s">
        <v>49</v>
      </c>
      <c r="G180" s="1" t="s">
        <v>33</v>
      </c>
      <c r="H180" s="1" t="s">
        <v>15</v>
      </c>
      <c r="I180" s="4">
        <v>24.5</v>
      </c>
      <c r="J180" s="5" t="s">
        <v>16</v>
      </c>
    </row>
    <row r="181" spans="1:10" x14ac:dyDescent="0.25">
      <c r="A181" s="6">
        <v>1180</v>
      </c>
      <c r="B181" s="7" t="s">
        <v>207</v>
      </c>
      <c r="C181" s="6" t="s">
        <v>11</v>
      </c>
      <c r="D181" s="8">
        <v>45515</v>
      </c>
      <c r="E181" s="6" t="s">
        <v>21</v>
      </c>
      <c r="F181" s="6" t="s">
        <v>13</v>
      </c>
      <c r="G181" s="6" t="s">
        <v>14</v>
      </c>
      <c r="H181" s="6" t="s">
        <v>25</v>
      </c>
      <c r="I181" s="9">
        <v>20.83</v>
      </c>
      <c r="J181" s="10" t="s">
        <v>16</v>
      </c>
    </row>
    <row r="182" spans="1:10" x14ac:dyDescent="0.25">
      <c r="A182" s="1">
        <v>1181</v>
      </c>
      <c r="B182" s="2" t="s">
        <v>208</v>
      </c>
      <c r="C182" s="1" t="s">
        <v>11</v>
      </c>
      <c r="D182" s="3">
        <v>45655</v>
      </c>
      <c r="E182" s="1" t="s">
        <v>41</v>
      </c>
      <c r="F182" s="1" t="s">
        <v>46</v>
      </c>
      <c r="G182" s="1" t="s">
        <v>14</v>
      </c>
      <c r="H182" s="1" t="s">
        <v>15</v>
      </c>
      <c r="I182" s="4">
        <v>24.5</v>
      </c>
      <c r="J182" s="5" t="s">
        <v>16</v>
      </c>
    </row>
    <row r="183" spans="1:10" x14ac:dyDescent="0.25">
      <c r="A183" s="6">
        <v>1182</v>
      </c>
      <c r="B183" s="7" t="s">
        <v>209</v>
      </c>
      <c r="C183" s="6" t="s">
        <v>62</v>
      </c>
      <c r="D183" s="8">
        <v>45527</v>
      </c>
      <c r="E183" s="6" t="s">
        <v>21</v>
      </c>
      <c r="F183" s="6" t="s">
        <v>78</v>
      </c>
      <c r="G183" s="6" t="s">
        <v>33</v>
      </c>
      <c r="H183" s="6" t="s">
        <v>25</v>
      </c>
      <c r="I183" s="9">
        <v>700</v>
      </c>
      <c r="J183" s="10" t="s">
        <v>16</v>
      </c>
    </row>
    <row r="184" spans="1:10" x14ac:dyDescent="0.25">
      <c r="A184" s="1">
        <v>1183</v>
      </c>
      <c r="B184" s="2" t="s">
        <v>210</v>
      </c>
      <c r="C184" s="1" t="s">
        <v>28</v>
      </c>
      <c r="D184" s="3">
        <v>45560</v>
      </c>
      <c r="E184" s="1" t="s">
        <v>56</v>
      </c>
      <c r="F184" s="1" t="s">
        <v>13</v>
      </c>
      <c r="G184" s="1" t="s">
        <v>14</v>
      </c>
      <c r="H184" s="1" t="s">
        <v>15</v>
      </c>
      <c r="I184" s="4">
        <v>14.9</v>
      </c>
      <c r="J184" s="5" t="s">
        <v>16</v>
      </c>
    </row>
    <row r="185" spans="1:10" x14ac:dyDescent="0.25">
      <c r="A185" s="6">
        <v>1184</v>
      </c>
      <c r="B185" s="7" t="s">
        <v>211</v>
      </c>
      <c r="C185" s="6" t="s">
        <v>28</v>
      </c>
      <c r="D185" s="8">
        <v>45331</v>
      </c>
      <c r="E185" s="6" t="s">
        <v>18</v>
      </c>
      <c r="F185" s="6" t="s">
        <v>66</v>
      </c>
      <c r="G185" s="6" t="s">
        <v>14</v>
      </c>
      <c r="H185" s="6" t="s">
        <v>15</v>
      </c>
      <c r="I185" s="9">
        <v>14.9</v>
      </c>
      <c r="J185" s="10" t="s">
        <v>16</v>
      </c>
    </row>
    <row r="186" spans="1:10" x14ac:dyDescent="0.25">
      <c r="A186" s="1">
        <v>1185</v>
      </c>
      <c r="B186" s="2" t="s">
        <v>212</v>
      </c>
      <c r="C186" s="1" t="s">
        <v>38</v>
      </c>
      <c r="D186" s="3">
        <v>45664</v>
      </c>
      <c r="E186" s="1" t="s">
        <v>48</v>
      </c>
      <c r="F186" s="1" t="s">
        <v>46</v>
      </c>
      <c r="G186" s="1" t="s">
        <v>33</v>
      </c>
      <c r="H186" s="1" t="s">
        <v>25</v>
      </c>
      <c r="I186" s="4">
        <v>300</v>
      </c>
      <c r="J186" s="5" t="s">
        <v>16</v>
      </c>
    </row>
    <row r="187" spans="1:10" x14ac:dyDescent="0.25">
      <c r="A187" s="6">
        <v>1186</v>
      </c>
      <c r="B187" s="7" t="s">
        <v>213</v>
      </c>
      <c r="C187" s="6" t="s">
        <v>28</v>
      </c>
      <c r="D187" s="8">
        <v>45370</v>
      </c>
      <c r="E187" s="6" t="s">
        <v>63</v>
      </c>
      <c r="F187" s="6" t="s">
        <v>46</v>
      </c>
      <c r="G187" s="6" t="s">
        <v>14</v>
      </c>
      <c r="H187" s="6" t="s">
        <v>15</v>
      </c>
      <c r="I187" s="9">
        <v>14.9</v>
      </c>
      <c r="J187" s="11" t="s">
        <v>26</v>
      </c>
    </row>
    <row r="188" spans="1:10" x14ac:dyDescent="0.25">
      <c r="A188" s="1">
        <v>1187</v>
      </c>
      <c r="B188" s="2" t="s">
        <v>214</v>
      </c>
      <c r="C188" s="1" t="s">
        <v>11</v>
      </c>
      <c r="D188" s="3">
        <v>45521</v>
      </c>
      <c r="E188" s="1" t="s">
        <v>21</v>
      </c>
      <c r="F188" s="1" t="s">
        <v>36</v>
      </c>
      <c r="G188" s="1" t="s">
        <v>33</v>
      </c>
      <c r="H188" s="1" t="s">
        <v>25</v>
      </c>
      <c r="I188" s="4">
        <v>20.83</v>
      </c>
      <c r="J188" s="5" t="s">
        <v>16</v>
      </c>
    </row>
    <row r="189" spans="1:10" x14ac:dyDescent="0.25">
      <c r="A189" s="6">
        <v>1188</v>
      </c>
      <c r="B189" s="7" t="s">
        <v>215</v>
      </c>
      <c r="C189" s="6" t="s">
        <v>38</v>
      </c>
      <c r="D189" s="8">
        <v>45369</v>
      </c>
      <c r="E189" s="6" t="s">
        <v>63</v>
      </c>
      <c r="F189" s="6" t="s">
        <v>39</v>
      </c>
      <c r="G189" s="6" t="s">
        <v>14</v>
      </c>
      <c r="H189" s="6" t="s">
        <v>25</v>
      </c>
      <c r="I189" s="9">
        <v>300</v>
      </c>
      <c r="J189" s="10" t="s">
        <v>16</v>
      </c>
    </row>
    <row r="190" spans="1:10" x14ac:dyDescent="0.25">
      <c r="A190" s="1">
        <v>1189</v>
      </c>
      <c r="B190" s="2" t="s">
        <v>216</v>
      </c>
      <c r="C190" s="1" t="s">
        <v>20</v>
      </c>
      <c r="D190" s="3">
        <v>45472</v>
      </c>
      <c r="E190" s="1" t="s">
        <v>23</v>
      </c>
      <c r="F190" s="1" t="s">
        <v>66</v>
      </c>
      <c r="G190" s="1" t="s">
        <v>14</v>
      </c>
      <c r="H190" s="1" t="s">
        <v>15</v>
      </c>
      <c r="I190" s="4">
        <v>60</v>
      </c>
      <c r="J190" s="5" t="s">
        <v>16</v>
      </c>
    </row>
    <row r="191" spans="1:10" x14ac:dyDescent="0.25">
      <c r="A191" s="6">
        <v>1190</v>
      </c>
      <c r="B191" s="7" t="s">
        <v>217</v>
      </c>
      <c r="C191" s="6" t="s">
        <v>28</v>
      </c>
      <c r="D191" s="8">
        <v>45622</v>
      </c>
      <c r="E191" s="6" t="s">
        <v>99</v>
      </c>
      <c r="F191" s="6" t="s">
        <v>13</v>
      </c>
      <c r="G191" s="6" t="s">
        <v>14</v>
      </c>
      <c r="H191" s="6" t="s">
        <v>15</v>
      </c>
      <c r="I191" s="9">
        <v>14.9</v>
      </c>
      <c r="J191" s="10" t="s">
        <v>16</v>
      </c>
    </row>
    <row r="192" spans="1:10" x14ac:dyDescent="0.25">
      <c r="A192" s="1">
        <v>1191</v>
      </c>
      <c r="B192" s="2" t="s">
        <v>207</v>
      </c>
      <c r="C192" s="1" t="s">
        <v>11</v>
      </c>
      <c r="D192" s="3">
        <v>45522</v>
      </c>
      <c r="E192" s="1" t="s">
        <v>21</v>
      </c>
      <c r="F192" s="1" t="s">
        <v>68</v>
      </c>
      <c r="G192" s="1" t="s">
        <v>14</v>
      </c>
      <c r="H192" s="1" t="s">
        <v>25</v>
      </c>
      <c r="I192" s="4">
        <v>20.83</v>
      </c>
      <c r="J192" s="5" t="s">
        <v>16</v>
      </c>
    </row>
    <row r="193" spans="1:10" x14ac:dyDescent="0.25">
      <c r="A193" s="6">
        <v>1192</v>
      </c>
      <c r="B193" s="7" t="s">
        <v>218</v>
      </c>
      <c r="C193" s="6" t="s">
        <v>11</v>
      </c>
      <c r="D193" s="8">
        <v>45344</v>
      </c>
      <c r="E193" s="6" t="s">
        <v>18</v>
      </c>
      <c r="F193" s="6" t="s">
        <v>24</v>
      </c>
      <c r="G193" s="6" t="s">
        <v>33</v>
      </c>
      <c r="H193" s="6" t="s">
        <v>15</v>
      </c>
      <c r="I193" s="9">
        <v>24.5</v>
      </c>
      <c r="J193" s="10" t="s">
        <v>16</v>
      </c>
    </row>
    <row r="194" spans="1:10" x14ac:dyDescent="0.25">
      <c r="A194" s="1">
        <v>1193</v>
      </c>
      <c r="B194" s="2" t="s">
        <v>219</v>
      </c>
      <c r="C194" s="1" t="s">
        <v>28</v>
      </c>
      <c r="D194" s="3">
        <v>45516</v>
      </c>
      <c r="E194" s="1" t="s">
        <v>21</v>
      </c>
      <c r="F194" s="1" t="s">
        <v>66</v>
      </c>
      <c r="G194" s="1" t="s">
        <v>14</v>
      </c>
      <c r="H194" s="1" t="s">
        <v>15</v>
      </c>
      <c r="I194" s="4">
        <v>14.9</v>
      </c>
      <c r="J194" s="5" t="s">
        <v>16</v>
      </c>
    </row>
    <row r="195" spans="1:10" x14ac:dyDescent="0.25">
      <c r="A195" s="6">
        <v>1194</v>
      </c>
      <c r="B195" s="7" t="s">
        <v>220</v>
      </c>
      <c r="C195" s="6" t="s">
        <v>38</v>
      </c>
      <c r="D195" s="8">
        <v>45688</v>
      </c>
      <c r="E195" s="6" t="s">
        <v>48</v>
      </c>
      <c r="F195" s="6" t="s">
        <v>24</v>
      </c>
      <c r="G195" s="6" t="s">
        <v>14</v>
      </c>
      <c r="H195" s="6" t="s">
        <v>25</v>
      </c>
      <c r="I195" s="9">
        <v>300</v>
      </c>
      <c r="J195" s="10" t="s">
        <v>16</v>
      </c>
    </row>
    <row r="196" spans="1:10" x14ac:dyDescent="0.25">
      <c r="A196" s="1">
        <v>1195</v>
      </c>
      <c r="B196" s="2" t="s">
        <v>88</v>
      </c>
      <c r="C196" s="1" t="s">
        <v>28</v>
      </c>
      <c r="D196" s="3">
        <v>45639</v>
      </c>
      <c r="E196" s="1" t="s">
        <v>41</v>
      </c>
      <c r="F196" s="1" t="s">
        <v>30</v>
      </c>
      <c r="G196" s="1" t="s">
        <v>14</v>
      </c>
      <c r="H196" s="1" t="s">
        <v>15</v>
      </c>
      <c r="I196" s="4">
        <v>14.9</v>
      </c>
      <c r="J196" s="5" t="s">
        <v>16</v>
      </c>
    </row>
    <row r="197" spans="1:10" x14ac:dyDescent="0.25">
      <c r="A197" s="6">
        <v>1196</v>
      </c>
      <c r="B197" s="7" t="s">
        <v>221</v>
      </c>
      <c r="C197" s="6" t="s">
        <v>28</v>
      </c>
      <c r="D197" s="8">
        <v>45761</v>
      </c>
      <c r="E197" s="6" t="s">
        <v>60</v>
      </c>
      <c r="F197" s="6" t="s">
        <v>30</v>
      </c>
      <c r="G197" s="6" t="s">
        <v>14</v>
      </c>
      <c r="H197" s="6" t="s">
        <v>15</v>
      </c>
      <c r="I197" s="9">
        <v>14.9</v>
      </c>
      <c r="J197" s="10" t="s">
        <v>16</v>
      </c>
    </row>
    <row r="198" spans="1:10" x14ac:dyDescent="0.25">
      <c r="A198" s="1">
        <v>1197</v>
      </c>
      <c r="B198" s="2" t="s">
        <v>34</v>
      </c>
      <c r="C198" s="1" t="s">
        <v>28</v>
      </c>
      <c r="D198" s="3">
        <v>45450</v>
      </c>
      <c r="E198" s="1" t="s">
        <v>23</v>
      </c>
      <c r="F198" s="1" t="s">
        <v>49</v>
      </c>
      <c r="G198" s="1" t="s">
        <v>14</v>
      </c>
      <c r="H198" s="1" t="s">
        <v>15</v>
      </c>
      <c r="I198" s="4">
        <v>14.9</v>
      </c>
      <c r="J198" s="5" t="s">
        <v>16</v>
      </c>
    </row>
    <row r="199" spans="1:10" x14ac:dyDescent="0.25">
      <c r="A199" s="6">
        <v>1198</v>
      </c>
      <c r="B199" s="7" t="s">
        <v>222</v>
      </c>
      <c r="C199" s="6" t="s">
        <v>20</v>
      </c>
      <c r="D199" s="8">
        <v>45339</v>
      </c>
      <c r="E199" s="6" t="s">
        <v>18</v>
      </c>
      <c r="F199" s="6" t="s">
        <v>46</v>
      </c>
      <c r="G199" s="6" t="s">
        <v>14</v>
      </c>
      <c r="H199" s="6" t="s">
        <v>15</v>
      </c>
      <c r="I199" s="9">
        <v>60</v>
      </c>
      <c r="J199" s="10" t="s">
        <v>16</v>
      </c>
    </row>
    <row r="200" spans="1:10" x14ac:dyDescent="0.25">
      <c r="A200" s="1">
        <v>1199</v>
      </c>
      <c r="B200" s="2" t="s">
        <v>223</v>
      </c>
      <c r="C200" s="1" t="s">
        <v>28</v>
      </c>
      <c r="D200" s="3">
        <v>45466</v>
      </c>
      <c r="E200" s="1" t="s">
        <v>23</v>
      </c>
      <c r="F200" s="1" t="s">
        <v>71</v>
      </c>
      <c r="G200" s="1" t="s">
        <v>14</v>
      </c>
      <c r="H200" s="1" t="s">
        <v>15</v>
      </c>
      <c r="I200" s="4">
        <v>14.9</v>
      </c>
      <c r="J200" s="12" t="s">
        <v>26</v>
      </c>
    </row>
    <row r="201" spans="1:10" x14ac:dyDescent="0.25">
      <c r="A201" s="6">
        <v>1200</v>
      </c>
      <c r="B201" s="7" t="s">
        <v>224</v>
      </c>
      <c r="C201" s="6" t="s">
        <v>28</v>
      </c>
      <c r="D201" s="8">
        <v>45686</v>
      </c>
      <c r="E201" s="6" t="s">
        <v>48</v>
      </c>
      <c r="F201" s="6" t="s">
        <v>49</v>
      </c>
      <c r="G201" s="6" t="s">
        <v>33</v>
      </c>
      <c r="H201" s="6" t="s">
        <v>15</v>
      </c>
      <c r="I201" s="9">
        <v>14.9</v>
      </c>
      <c r="J201" s="11" t="s">
        <v>26</v>
      </c>
    </row>
  </sheetData>
  <autoFilter ref="A1:J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06060"/>
  </sheetPr>
  <dimension ref="A1:I45"/>
  <sheetViews>
    <sheetView showGridLines="0" zoomScaleNormal="100" workbookViewId="0">
      <selection activeCell="C28" sqref="C28"/>
    </sheetView>
  </sheetViews>
  <sheetFormatPr defaultColWidth="8.7109375" defaultRowHeight="15" x14ac:dyDescent="0.25"/>
  <cols>
    <col min="1" max="1" width="22" customWidth="1"/>
    <col min="2" max="2" width="18" bestFit="1" customWidth="1"/>
    <col min="3" max="3" width="18.85546875" bestFit="1" customWidth="1"/>
    <col min="4" max="4" width="30.42578125" bestFit="1" customWidth="1"/>
    <col min="5" max="5" width="22" customWidth="1"/>
    <col min="6" max="6" width="22" style="28" customWidth="1"/>
  </cols>
  <sheetData>
    <row r="1" spans="1:9" x14ac:dyDescent="0.25">
      <c r="A1" s="20"/>
      <c r="B1" s="20"/>
      <c r="C1" s="20"/>
      <c r="D1" s="21"/>
      <c r="E1" s="20"/>
      <c r="F1" s="33"/>
      <c r="G1" s="21"/>
      <c r="H1" s="22"/>
      <c r="I1" s="22"/>
    </row>
    <row r="2" spans="1:9" x14ac:dyDescent="0.25">
      <c r="A2" s="23"/>
      <c r="B2" s="17" t="s">
        <v>249</v>
      </c>
      <c r="C2" s="17"/>
      <c r="D2" s="17"/>
      <c r="E2" s="18"/>
      <c r="F2" s="34"/>
      <c r="G2" s="21"/>
      <c r="H2" s="22"/>
      <c r="I2" s="22"/>
    </row>
    <row r="3" spans="1:9" s="14" customFormat="1" x14ac:dyDescent="0.25">
      <c r="A3" s="23"/>
      <c r="B3" s="27" t="s">
        <v>248</v>
      </c>
      <c r="C3"/>
      <c r="D3"/>
      <c r="E3" s="18"/>
      <c r="G3" s="21"/>
      <c r="H3" s="22"/>
      <c r="I3" s="22"/>
    </row>
    <row r="4" spans="1:9" s="14" customFormat="1" x14ac:dyDescent="0.25">
      <c r="A4" s="23"/>
      <c r="B4" s="44" t="s">
        <v>255</v>
      </c>
      <c r="C4" s="17"/>
      <c r="D4"/>
      <c r="E4"/>
      <c r="F4"/>
      <c r="G4"/>
      <c r="H4" s="22"/>
      <c r="I4" s="22"/>
    </row>
    <row r="5" spans="1:9" x14ac:dyDescent="0.25">
      <c r="A5" s="18"/>
      <c r="B5" s="44" t="s">
        <v>257</v>
      </c>
      <c r="C5" s="17"/>
      <c r="E5" s="14"/>
      <c r="F5" s="14"/>
      <c r="G5" s="14"/>
    </row>
    <row r="6" spans="1:9" x14ac:dyDescent="0.25">
      <c r="A6" s="18"/>
      <c r="B6" s="44" t="s">
        <v>258</v>
      </c>
      <c r="C6" s="17"/>
      <c r="D6" s="14"/>
      <c r="E6" s="14"/>
      <c r="F6" s="14"/>
      <c r="G6" s="14"/>
    </row>
    <row r="7" spans="1:9" x14ac:dyDescent="0.25">
      <c r="A7" s="18"/>
      <c r="G7" s="17"/>
    </row>
    <row r="8" spans="1:9" x14ac:dyDescent="0.25">
      <c r="A8" s="18"/>
      <c r="B8" s="26" t="s">
        <v>7</v>
      </c>
      <c r="C8" s="26" t="s">
        <v>247</v>
      </c>
      <c r="D8" s="14"/>
      <c r="E8" s="18"/>
      <c r="F8" s="14"/>
      <c r="G8" s="17"/>
    </row>
    <row r="9" spans="1:9" x14ac:dyDescent="0.25">
      <c r="A9" s="17"/>
      <c r="B9" s="26" t="s">
        <v>9</v>
      </c>
      <c r="C9" s="26" t="s">
        <v>16</v>
      </c>
      <c r="G9" s="17"/>
    </row>
    <row r="10" spans="1:9" x14ac:dyDescent="0.25">
      <c r="A10" s="17"/>
      <c r="B10" s="30"/>
      <c r="C10" s="30"/>
      <c r="D10" s="17"/>
      <c r="E10" s="18"/>
      <c r="F10" s="34"/>
      <c r="G10" s="17"/>
    </row>
    <row r="11" spans="1:9" x14ac:dyDescent="0.25">
      <c r="A11" s="17"/>
      <c r="B11" s="26" t="s">
        <v>245</v>
      </c>
      <c r="C11" s="26" t="s">
        <v>256</v>
      </c>
      <c r="D11" s="26" t="s">
        <v>244</v>
      </c>
      <c r="E11" s="18"/>
      <c r="F11" s="34"/>
      <c r="G11" s="17"/>
    </row>
    <row r="12" spans="1:9" x14ac:dyDescent="0.25">
      <c r="A12" s="20"/>
      <c r="B12" s="31" t="s">
        <v>28</v>
      </c>
      <c r="C12" s="49">
        <v>66</v>
      </c>
      <c r="D12" s="41">
        <v>983.39999999999895</v>
      </c>
      <c r="E12" s="18"/>
      <c r="F12" s="34"/>
      <c r="G12" s="21"/>
    </row>
    <row r="13" spans="1:9" x14ac:dyDescent="0.25">
      <c r="A13" s="18"/>
      <c r="B13" s="31" t="s">
        <v>38</v>
      </c>
      <c r="C13" s="49">
        <v>23</v>
      </c>
      <c r="D13" s="41">
        <v>6900</v>
      </c>
      <c r="E13" s="17"/>
      <c r="F13" s="34"/>
      <c r="G13" s="17"/>
    </row>
    <row r="14" spans="1:9" x14ac:dyDescent="0.25">
      <c r="A14" s="18"/>
      <c r="B14" s="31" t="s">
        <v>62</v>
      </c>
      <c r="C14" s="49">
        <v>10</v>
      </c>
      <c r="D14" s="41">
        <v>7000</v>
      </c>
      <c r="E14" s="17"/>
      <c r="F14" s="34"/>
      <c r="G14" s="17"/>
    </row>
    <row r="15" spans="1:9" s="14" customFormat="1" x14ac:dyDescent="0.25">
      <c r="A15" s="18"/>
      <c r="B15" s="31" t="s">
        <v>20</v>
      </c>
      <c r="C15" s="49">
        <v>28</v>
      </c>
      <c r="D15" s="41">
        <v>1635</v>
      </c>
      <c r="E15" s="17"/>
      <c r="F15" s="28"/>
      <c r="G15" s="17"/>
    </row>
    <row r="16" spans="1:9" s="14" customFormat="1" x14ac:dyDescent="0.25">
      <c r="A16" s="18"/>
      <c r="B16" s="31" t="s">
        <v>11</v>
      </c>
      <c r="C16" s="49">
        <v>46</v>
      </c>
      <c r="D16" s="41">
        <v>1046.2600000000002</v>
      </c>
      <c r="E16" s="20"/>
    </row>
    <row r="17" spans="1:8" s="14" customFormat="1" x14ac:dyDescent="0.25">
      <c r="A17" s="18"/>
      <c r="B17" s="29" t="s">
        <v>246</v>
      </c>
      <c r="C17" s="50">
        <v>173</v>
      </c>
      <c r="D17" s="42">
        <v>17564.660000000036</v>
      </c>
      <c r="E17"/>
      <c r="F17" s="43">
        <f>GETPIVOTDATA("Valor Mensalidade (R$)",$B$11)</f>
        <v>17564.660000000036</v>
      </c>
      <c r="G17" s="17"/>
      <c r="H17" s="14">
        <f>GETPIVOTDATA("Contagem de Nome",$B$11)</f>
        <v>173</v>
      </c>
    </row>
    <row r="18" spans="1:8" s="14" customFormat="1" x14ac:dyDescent="0.25">
      <c r="A18" s="18"/>
      <c r="G18" s="17"/>
    </row>
    <row r="19" spans="1:8" x14ac:dyDescent="0.25">
      <c r="A19" s="18"/>
      <c r="G19" s="17"/>
    </row>
    <row r="20" spans="1:8" s="14" customFormat="1" x14ac:dyDescent="0.25">
      <c r="A20" s="18"/>
      <c r="G20" s="17"/>
    </row>
    <row r="21" spans="1:8" x14ac:dyDescent="0.25">
      <c r="B21" s="45"/>
      <c r="C21" s="46"/>
      <c r="D21" s="17"/>
      <c r="E21" s="18"/>
      <c r="F21" s="34"/>
      <c r="G21" s="17"/>
    </row>
    <row r="22" spans="1:8" x14ac:dyDescent="0.25">
      <c r="A22" s="18"/>
      <c r="C22" s="17"/>
      <c r="D22" s="17"/>
      <c r="E22" s="18"/>
      <c r="F22" s="34"/>
      <c r="G22" s="17"/>
    </row>
    <row r="23" spans="1:8" x14ac:dyDescent="0.25">
      <c r="A23" s="18"/>
      <c r="B23" s="26" t="s">
        <v>245</v>
      </c>
      <c r="C23" s="26" t="s">
        <v>256</v>
      </c>
      <c r="E23" s="17"/>
      <c r="F23" s="17"/>
      <c r="G23" s="17"/>
    </row>
    <row r="24" spans="1:8" x14ac:dyDescent="0.25">
      <c r="A24" s="18"/>
      <c r="B24" s="31" t="s">
        <v>16</v>
      </c>
      <c r="C24" s="49">
        <v>173</v>
      </c>
      <c r="E24" s="18"/>
      <c r="F24" s="52">
        <f>GETPIVOTDATA("Nome",$B$23,"Status","Ativo")</f>
        <v>173</v>
      </c>
      <c r="G24" s="17"/>
    </row>
    <row r="25" spans="1:8" x14ac:dyDescent="0.25">
      <c r="A25" s="18"/>
      <c r="B25" s="31" t="s">
        <v>26</v>
      </c>
      <c r="C25" s="49">
        <v>27</v>
      </c>
      <c r="E25" s="17"/>
      <c r="F25" s="52">
        <f>GETPIVOTDATA("Nome",$B$23,"Status","Inativo")</f>
        <v>27</v>
      </c>
      <c r="G25" s="17"/>
    </row>
    <row r="26" spans="1:8" x14ac:dyDescent="0.25">
      <c r="A26" s="18"/>
      <c r="B26" s="31" t="s">
        <v>246</v>
      </c>
      <c r="C26" s="49">
        <v>200</v>
      </c>
      <c r="E26" s="17"/>
      <c r="F26" s="52">
        <f>GETPIVOTDATA("Nome",$B$23)</f>
        <v>200</v>
      </c>
      <c r="G26" s="17"/>
    </row>
    <row r="27" spans="1:8" x14ac:dyDescent="0.25">
      <c r="A27" s="18"/>
      <c r="E27" s="17"/>
      <c r="F27" s="34"/>
      <c r="G27" s="17"/>
    </row>
    <row r="28" spans="1:8" x14ac:dyDescent="0.25">
      <c r="A28" s="18"/>
      <c r="E28" s="17"/>
      <c r="F28" s="34"/>
      <c r="G28" s="17"/>
    </row>
    <row r="29" spans="1:8" x14ac:dyDescent="0.25">
      <c r="A29" s="18"/>
      <c r="E29" s="17"/>
      <c r="F29" s="34"/>
      <c r="G29" s="17"/>
    </row>
    <row r="30" spans="1:8" x14ac:dyDescent="0.25">
      <c r="A30" s="18"/>
      <c r="E30" s="17"/>
      <c r="G30" s="17"/>
    </row>
    <row r="31" spans="1:8" x14ac:dyDescent="0.25">
      <c r="A31" s="18"/>
      <c r="F31" s="34"/>
      <c r="G31" s="17"/>
    </row>
    <row r="32" spans="1:8" x14ac:dyDescent="0.25">
      <c r="A32" s="18"/>
      <c r="F32" s="34"/>
      <c r="G32" s="17"/>
    </row>
    <row r="33" spans="1:7" x14ac:dyDescent="0.25">
      <c r="A33" s="18"/>
      <c r="F33" s="34"/>
      <c r="G33" s="17"/>
    </row>
    <row r="34" spans="1:7" x14ac:dyDescent="0.25">
      <c r="A34" s="17"/>
      <c r="E34" s="17"/>
      <c r="F34" s="34"/>
      <c r="G34" s="17"/>
    </row>
    <row r="35" spans="1:7" x14ac:dyDescent="0.25">
      <c r="A35" s="17"/>
      <c r="E35" s="17"/>
      <c r="F35" s="34"/>
      <c r="G35" s="17"/>
    </row>
    <row r="36" spans="1:7" x14ac:dyDescent="0.25">
      <c r="A36" s="17"/>
      <c r="E36" s="17"/>
      <c r="F36" s="34"/>
      <c r="G36" s="17"/>
    </row>
    <row r="37" spans="1:7" x14ac:dyDescent="0.25">
      <c r="A37" s="19"/>
      <c r="E37" s="17"/>
      <c r="F37" s="34"/>
      <c r="G37" s="17"/>
    </row>
    <row r="38" spans="1:7" x14ac:dyDescent="0.25">
      <c r="A38" s="13"/>
    </row>
    <row r="39" spans="1:7" x14ac:dyDescent="0.25">
      <c r="A39" s="13"/>
    </row>
    <row r="40" spans="1:7" x14ac:dyDescent="0.25">
      <c r="A40" s="13"/>
    </row>
    <row r="41" spans="1:7" x14ac:dyDescent="0.25">
      <c r="A41" s="13"/>
    </row>
    <row r="42" spans="1:7" x14ac:dyDescent="0.25">
      <c r="A42" s="13"/>
    </row>
    <row r="43" spans="1:7" x14ac:dyDescent="0.25">
      <c r="A43" s="13"/>
    </row>
    <row r="44" spans="1:7" x14ac:dyDescent="0.25">
      <c r="A44" s="13"/>
    </row>
    <row r="45" spans="1:7" x14ac:dyDescent="0.25">
      <c r="A45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C51B-408A-4C50-BBFD-3E9E0012F115}">
  <dimension ref="A1:AE285"/>
  <sheetViews>
    <sheetView tabSelected="1" zoomScale="85" zoomScaleNormal="85" workbookViewId="0">
      <selection activeCell="W41" sqref="W41"/>
    </sheetView>
  </sheetViews>
  <sheetFormatPr defaultRowHeight="15" x14ac:dyDescent="0.25"/>
  <cols>
    <col min="1" max="1" width="26.42578125" style="25" customWidth="1"/>
  </cols>
  <sheetData>
    <row r="1" spans="1:31" ht="22.5" x14ac:dyDescent="0.3">
      <c r="B1" s="25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40"/>
      <c r="AB1" s="40"/>
      <c r="AC1" s="40"/>
      <c r="AD1" s="40"/>
      <c r="AE1" s="40"/>
    </row>
    <row r="2" spans="1:31" ht="26.25" x14ac:dyDescent="0.45">
      <c r="B2" s="25"/>
      <c r="C2" s="39" t="s">
        <v>254</v>
      </c>
      <c r="D2" s="37"/>
      <c r="E2" s="37"/>
      <c r="F2" s="38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40"/>
      <c r="AB2" s="40"/>
      <c r="AC2" s="40"/>
      <c r="AD2" s="40"/>
      <c r="AE2" s="40"/>
    </row>
    <row r="3" spans="1:31" ht="26.25" x14ac:dyDescent="0.45">
      <c r="B3" s="25"/>
      <c r="C3" s="37"/>
      <c r="D3" s="37"/>
      <c r="E3" s="37"/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40"/>
      <c r="AB3" s="40"/>
      <c r="AC3" s="40"/>
      <c r="AD3" s="40"/>
      <c r="AE3" s="40"/>
    </row>
    <row r="4" spans="1:31" x14ac:dyDescent="0.25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31" x14ac:dyDescent="0.25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31" x14ac:dyDescent="0.25"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31" x14ac:dyDescent="0.25"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31" x14ac:dyDescent="0.25"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31" ht="16.5" x14ac:dyDescent="0.25">
      <c r="A9" s="48" t="s">
        <v>259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31" x14ac:dyDescent="0.25"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31" x14ac:dyDescent="0.25"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31" x14ac:dyDescent="0.25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31" x14ac:dyDescent="0.25"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31" x14ac:dyDescent="0.25"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31" x14ac:dyDescent="0.25"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31" x14ac:dyDescent="0.25"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x14ac:dyDescent="0.25"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x14ac:dyDescent="0.25"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x14ac:dyDescent="0.25"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x14ac:dyDescent="0.25"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x14ac:dyDescent="0.25"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6.5" x14ac:dyDescent="0.25">
      <c r="A22" s="47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x14ac:dyDescent="0.25"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x14ac:dyDescent="0.25"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x14ac:dyDescent="0.25"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x14ac:dyDescent="0.25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x14ac:dyDescent="0.25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x14ac:dyDescent="0.25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x14ac:dyDescent="0.25"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x14ac:dyDescent="0.25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2:26" x14ac:dyDescent="0.25"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2:26" x14ac:dyDescent="0.25"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2:26" x14ac:dyDescent="0.25"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2:26" x14ac:dyDescent="0.25"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2:26" x14ac:dyDescent="0.25"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2:26" x14ac:dyDescent="0.25"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2:26" x14ac:dyDescent="0.25"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2:26" x14ac:dyDescent="0.25"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2:26" x14ac:dyDescent="0.25"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2:26" x14ac:dyDescent="0.25"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2:26" x14ac:dyDescent="0.25"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2:26" x14ac:dyDescent="0.25"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2:26" x14ac:dyDescent="0.25"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2:26" x14ac:dyDescent="0.25"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2:26" x14ac:dyDescent="0.25"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2:26" x14ac:dyDescent="0.25"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2:26" x14ac:dyDescent="0.25"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2:26" x14ac:dyDescent="0.25"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2:26" x14ac:dyDescent="0.25"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2:26" x14ac:dyDescent="0.25"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2:26" x14ac:dyDescent="0.25"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2:26" x14ac:dyDescent="0.25"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2:26" x14ac:dyDescent="0.25"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2:26" x14ac:dyDescent="0.25"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2:26" x14ac:dyDescent="0.25"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2:26" x14ac:dyDescent="0.25"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2:26" x14ac:dyDescent="0.25"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2:26" x14ac:dyDescent="0.25"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2:26" x14ac:dyDescent="0.25"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2:26" x14ac:dyDescent="0.25"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2:26" x14ac:dyDescent="0.25"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2:26" x14ac:dyDescent="0.25"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2:26" x14ac:dyDescent="0.25"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2:26" x14ac:dyDescent="0.25"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2:26" x14ac:dyDescent="0.25"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2:26" x14ac:dyDescent="0.25"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2:26" x14ac:dyDescent="0.25"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2:26" x14ac:dyDescent="0.25"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2:26" x14ac:dyDescent="0.25"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2:26" x14ac:dyDescent="0.25"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2:26" x14ac:dyDescent="0.25"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2:26" x14ac:dyDescent="0.25"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2:26" x14ac:dyDescent="0.25"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2:26" x14ac:dyDescent="0.25"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2:26" x14ac:dyDescent="0.25"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2:26" x14ac:dyDescent="0.25"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2:26" x14ac:dyDescent="0.25"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2:26" x14ac:dyDescent="0.25"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2:26" x14ac:dyDescent="0.25"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2:26" x14ac:dyDescent="0.25"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2:26" x14ac:dyDescent="0.25"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2:26" x14ac:dyDescent="0.25"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2:26" x14ac:dyDescent="0.25"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2:26" x14ac:dyDescent="0.25"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2:26" x14ac:dyDescent="0.25"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2:26" x14ac:dyDescent="0.25"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2:26" x14ac:dyDescent="0.25"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2:26" x14ac:dyDescent="0.25"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2:26" x14ac:dyDescent="0.25"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2:26" x14ac:dyDescent="0.25"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2:26" x14ac:dyDescent="0.25"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2:26" x14ac:dyDescent="0.25"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2:26" x14ac:dyDescent="0.25"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2:26" x14ac:dyDescent="0.25"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2:26" x14ac:dyDescent="0.25"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2:26" x14ac:dyDescent="0.25"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2:26" x14ac:dyDescent="0.25"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2:26" x14ac:dyDescent="0.25"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2:26" x14ac:dyDescent="0.25"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2:26" x14ac:dyDescent="0.25"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2:26" x14ac:dyDescent="0.25"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2:26" x14ac:dyDescent="0.25"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2:26" x14ac:dyDescent="0.25"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2:26" x14ac:dyDescent="0.25"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2:26" x14ac:dyDescent="0.25"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2:26" x14ac:dyDescent="0.25"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2:26" x14ac:dyDescent="0.25"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2:26" x14ac:dyDescent="0.25"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2:26" x14ac:dyDescent="0.25"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2:26" x14ac:dyDescent="0.25"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2:26" x14ac:dyDescent="0.25"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2:26" x14ac:dyDescent="0.25"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2:26" x14ac:dyDescent="0.25"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2:26" x14ac:dyDescent="0.25"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2:26" x14ac:dyDescent="0.25"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2:26" x14ac:dyDescent="0.25"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2:26" x14ac:dyDescent="0.25"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2:26" x14ac:dyDescent="0.25"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2:26" x14ac:dyDescent="0.25"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2:26" x14ac:dyDescent="0.25"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2:26" x14ac:dyDescent="0.25"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2:26" x14ac:dyDescent="0.25"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2:26" x14ac:dyDescent="0.25"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2:26" x14ac:dyDescent="0.25"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2:26" x14ac:dyDescent="0.25"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2:26" x14ac:dyDescent="0.25"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2:26" x14ac:dyDescent="0.25"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2:26" x14ac:dyDescent="0.25"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2:26" x14ac:dyDescent="0.25"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2:26" x14ac:dyDescent="0.25"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2:26" x14ac:dyDescent="0.25"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2:26" x14ac:dyDescent="0.25"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2:26" x14ac:dyDescent="0.25"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2:26" x14ac:dyDescent="0.25"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2:26" x14ac:dyDescent="0.25"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2:26" x14ac:dyDescent="0.25"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2:26" x14ac:dyDescent="0.25"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2:26" x14ac:dyDescent="0.25"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2:26" x14ac:dyDescent="0.25"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2:26" x14ac:dyDescent="0.25"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2:26" x14ac:dyDescent="0.25"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2:26" x14ac:dyDescent="0.25"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2:26" x14ac:dyDescent="0.25"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2:26" x14ac:dyDescent="0.25"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2:26" x14ac:dyDescent="0.25"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2:26" x14ac:dyDescent="0.25"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2:26" x14ac:dyDescent="0.25"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2:26" x14ac:dyDescent="0.25"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2:26" x14ac:dyDescent="0.25"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2:26" x14ac:dyDescent="0.25"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2:26" x14ac:dyDescent="0.25"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2:26" x14ac:dyDescent="0.25"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2:26" x14ac:dyDescent="0.25"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2:26" x14ac:dyDescent="0.25"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2:26" x14ac:dyDescent="0.25"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2:26" x14ac:dyDescent="0.25"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2:26" x14ac:dyDescent="0.25"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2:26" x14ac:dyDescent="0.25"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2:26" x14ac:dyDescent="0.25"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2:26" x14ac:dyDescent="0.25"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2:26" x14ac:dyDescent="0.25"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2:26" x14ac:dyDescent="0.25"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2:26" x14ac:dyDescent="0.25"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2:26" x14ac:dyDescent="0.25"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2:26" x14ac:dyDescent="0.25"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2:26" x14ac:dyDescent="0.25"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2:26" x14ac:dyDescent="0.25"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2:26" x14ac:dyDescent="0.25"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2:26" x14ac:dyDescent="0.25"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2:26" x14ac:dyDescent="0.25"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2:26" x14ac:dyDescent="0.25"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2:26" x14ac:dyDescent="0.25"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2:26" x14ac:dyDescent="0.25"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2:26" x14ac:dyDescent="0.25"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2:26" x14ac:dyDescent="0.25"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2:26" x14ac:dyDescent="0.25"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2:26" x14ac:dyDescent="0.25"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2:26" x14ac:dyDescent="0.25"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2:26" x14ac:dyDescent="0.25"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2:26" x14ac:dyDescent="0.25"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2:26" x14ac:dyDescent="0.25"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2:26" x14ac:dyDescent="0.25"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2:26" x14ac:dyDescent="0.25"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2:26" x14ac:dyDescent="0.25"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2:26" x14ac:dyDescent="0.25"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2:26" x14ac:dyDescent="0.25"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2:26" x14ac:dyDescent="0.25"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2:26" x14ac:dyDescent="0.25"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2:26" x14ac:dyDescent="0.25"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2:26" x14ac:dyDescent="0.25"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2:26" x14ac:dyDescent="0.25"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2:26" x14ac:dyDescent="0.25"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2:26" x14ac:dyDescent="0.25"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2:26" x14ac:dyDescent="0.25"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2:26" x14ac:dyDescent="0.25"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2:26" x14ac:dyDescent="0.25"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2:26" x14ac:dyDescent="0.25"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2:26" x14ac:dyDescent="0.25"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2:26" x14ac:dyDescent="0.25"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2:26" x14ac:dyDescent="0.25"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2:26" x14ac:dyDescent="0.25"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2:26" x14ac:dyDescent="0.25"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2:26" x14ac:dyDescent="0.25"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2:26" x14ac:dyDescent="0.25"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2:26" x14ac:dyDescent="0.25"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2:26" x14ac:dyDescent="0.25"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2:26" x14ac:dyDescent="0.25"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2:26" x14ac:dyDescent="0.25"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2:26" x14ac:dyDescent="0.25"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2:26" x14ac:dyDescent="0.25"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2:26" x14ac:dyDescent="0.25"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2:26" x14ac:dyDescent="0.25"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2:26" x14ac:dyDescent="0.25"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2:26" x14ac:dyDescent="0.25"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2:26" x14ac:dyDescent="0.25"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2:26" x14ac:dyDescent="0.25"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2:26" x14ac:dyDescent="0.25"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2:26" x14ac:dyDescent="0.25"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2:26" x14ac:dyDescent="0.25"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2:26" x14ac:dyDescent="0.25"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2:26" x14ac:dyDescent="0.25"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2:26" x14ac:dyDescent="0.25"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2:26" x14ac:dyDescent="0.25"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2:26" x14ac:dyDescent="0.25"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2:26" x14ac:dyDescent="0.25"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2:26" x14ac:dyDescent="0.25"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2:26" x14ac:dyDescent="0.25"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2:26" x14ac:dyDescent="0.25"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2:26" x14ac:dyDescent="0.25"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2:26" x14ac:dyDescent="0.25"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2:26" x14ac:dyDescent="0.25"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2:26" x14ac:dyDescent="0.25"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2:26" x14ac:dyDescent="0.25"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2:26" x14ac:dyDescent="0.25"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2:26" x14ac:dyDescent="0.25"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2:26" x14ac:dyDescent="0.25"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2:26" x14ac:dyDescent="0.25"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2:26" x14ac:dyDescent="0.25"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2:26" x14ac:dyDescent="0.25"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2:26" x14ac:dyDescent="0.25"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2:26" x14ac:dyDescent="0.25"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2:26" x14ac:dyDescent="0.25"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2:26" x14ac:dyDescent="0.25"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2:26" x14ac:dyDescent="0.25"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2:26" x14ac:dyDescent="0.25"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2:26" x14ac:dyDescent="0.25"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2:26" x14ac:dyDescent="0.25"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2:26" x14ac:dyDescent="0.25"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2:26" x14ac:dyDescent="0.25"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2:26" x14ac:dyDescent="0.25"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2:26" x14ac:dyDescent="0.25"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2:26" x14ac:dyDescent="0.25"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2:26" x14ac:dyDescent="0.25"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2:26" x14ac:dyDescent="0.25"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2:26" x14ac:dyDescent="0.25"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2:26" x14ac:dyDescent="0.25"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2:26" x14ac:dyDescent="0.25"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2:26" x14ac:dyDescent="0.25"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2:26" x14ac:dyDescent="0.25"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2:26" x14ac:dyDescent="0.25"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2:26" x14ac:dyDescent="0.25"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2:26" x14ac:dyDescent="0.25"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2:26" x14ac:dyDescent="0.25"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2:26" x14ac:dyDescent="0.25"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2:26" x14ac:dyDescent="0.25"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2:26" x14ac:dyDescent="0.25"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2:26" x14ac:dyDescent="0.25"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2:26" x14ac:dyDescent="0.25"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2:26" x14ac:dyDescent="0.25"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2:26" x14ac:dyDescent="0.25"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2:26" x14ac:dyDescent="0.25"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2:26" x14ac:dyDescent="0.25"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2:26" x14ac:dyDescent="0.2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2:26" x14ac:dyDescent="0.25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2:26" x14ac:dyDescent="0.25"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2:26" x14ac:dyDescent="0.2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2:26" x14ac:dyDescent="0.2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2:26" x14ac:dyDescent="0.2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2:26" x14ac:dyDescent="0.2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2:26" x14ac:dyDescent="0.2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2:26" x14ac:dyDescent="0.2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2:26" x14ac:dyDescent="0.2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2:26" x14ac:dyDescent="0.2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Alan Gonzaga</cp:lastModifiedBy>
  <cp:revision>1</cp:revision>
  <dcterms:created xsi:type="dcterms:W3CDTF">2026-05-23T18:29:44Z</dcterms:created>
  <dcterms:modified xsi:type="dcterms:W3CDTF">2026-05-23T20:45:45Z</dcterms:modified>
  <dc:language>en-US</dc:language>
</cp:coreProperties>
</file>